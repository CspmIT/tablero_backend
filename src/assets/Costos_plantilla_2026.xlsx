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rteroscoop-my.sharepoint.com/personal/nprochetto_coopmorteros_coop/Documents/Escritorio/INFORMES/Horas Seccional/2026/"/>
    </mc:Choice>
  </mc:AlternateContent>
  <xr:revisionPtr revIDLastSave="0" documentId="8_{74DAB587-E0AB-4448-8CB5-B22BEA2553DB}" xr6:coauthVersionLast="47" xr6:coauthVersionMax="47" xr10:uidLastSave="{00000000-0000-0000-0000-000000000000}"/>
  <bookViews>
    <workbookView xWindow="-108" yWindow="-108" windowWidth="23256" windowHeight="13896" xr2:uid="{EBBC94F2-994F-4E6C-859C-8D1C63C60A7F}"/>
  </bookViews>
  <sheets>
    <sheet name="Asignacion" sheetId="1" r:id="rId1"/>
    <sheet name="asien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4" i="1" l="1"/>
  <c r="H159" i="1"/>
  <c r="E159" i="1"/>
  <c r="W159" i="1" s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29" i="1"/>
  <c r="B46" i="2"/>
  <c r="B36" i="2"/>
  <c r="B27" i="2"/>
  <c r="B25" i="2"/>
  <c r="B18" i="2"/>
  <c r="B16" i="2"/>
  <c r="H143" i="1" l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V82" i="1"/>
  <c r="T82" i="1"/>
  <c r="R82" i="1"/>
  <c r="P82" i="1"/>
  <c r="N82" i="1"/>
  <c r="L82" i="1"/>
  <c r="J82" i="1"/>
  <c r="H82" i="1"/>
  <c r="E82" i="1"/>
  <c r="F82" i="1" s="1"/>
  <c r="V81" i="1"/>
  <c r="T81" i="1"/>
  <c r="R81" i="1"/>
  <c r="P81" i="1"/>
  <c r="N81" i="1"/>
  <c r="L81" i="1"/>
  <c r="J81" i="1"/>
  <c r="H81" i="1"/>
  <c r="E81" i="1"/>
  <c r="F81" i="1" s="1"/>
  <c r="V80" i="1"/>
  <c r="T80" i="1"/>
  <c r="R80" i="1"/>
  <c r="P80" i="1"/>
  <c r="N80" i="1"/>
  <c r="L80" i="1"/>
  <c r="J80" i="1"/>
  <c r="H80" i="1"/>
  <c r="E80" i="1"/>
  <c r="F80" i="1" s="1"/>
  <c r="V79" i="1"/>
  <c r="T79" i="1"/>
  <c r="R79" i="1"/>
  <c r="P79" i="1"/>
  <c r="N79" i="1"/>
  <c r="L79" i="1"/>
  <c r="J79" i="1"/>
  <c r="H79" i="1"/>
  <c r="E79" i="1"/>
  <c r="F79" i="1" s="1"/>
  <c r="V78" i="1"/>
  <c r="T78" i="1"/>
  <c r="R78" i="1"/>
  <c r="P78" i="1"/>
  <c r="N78" i="1"/>
  <c r="L78" i="1"/>
  <c r="J78" i="1"/>
  <c r="H78" i="1"/>
  <c r="E78" i="1"/>
  <c r="F78" i="1" s="1"/>
  <c r="V77" i="1"/>
  <c r="T77" i="1"/>
  <c r="R77" i="1"/>
  <c r="P77" i="1"/>
  <c r="N77" i="1"/>
  <c r="L77" i="1"/>
  <c r="J77" i="1"/>
  <c r="H77" i="1"/>
  <c r="E77" i="1"/>
  <c r="F77" i="1" s="1"/>
  <c r="V76" i="1"/>
  <c r="T76" i="1"/>
  <c r="R76" i="1"/>
  <c r="P76" i="1"/>
  <c r="N76" i="1"/>
  <c r="L76" i="1"/>
  <c r="J76" i="1"/>
  <c r="H76" i="1"/>
  <c r="E76" i="1"/>
  <c r="F76" i="1" s="1"/>
  <c r="V75" i="1"/>
  <c r="T75" i="1"/>
  <c r="R75" i="1"/>
  <c r="P75" i="1"/>
  <c r="N75" i="1"/>
  <c r="L75" i="1"/>
  <c r="J75" i="1"/>
  <c r="H75" i="1"/>
  <c r="E75" i="1"/>
  <c r="F75" i="1" s="1"/>
  <c r="V74" i="1"/>
  <c r="T74" i="1"/>
  <c r="R74" i="1"/>
  <c r="P74" i="1"/>
  <c r="N74" i="1"/>
  <c r="L74" i="1"/>
  <c r="J74" i="1"/>
  <c r="H74" i="1"/>
  <c r="E74" i="1"/>
  <c r="F74" i="1" s="1"/>
  <c r="V73" i="1"/>
  <c r="T73" i="1"/>
  <c r="R73" i="1"/>
  <c r="P73" i="1"/>
  <c r="N73" i="1"/>
  <c r="L73" i="1"/>
  <c r="J73" i="1"/>
  <c r="H73" i="1"/>
  <c r="E73" i="1"/>
  <c r="F73" i="1" s="1"/>
  <c r="V72" i="1"/>
  <c r="T72" i="1"/>
  <c r="R72" i="1"/>
  <c r="P72" i="1"/>
  <c r="N72" i="1"/>
  <c r="L72" i="1"/>
  <c r="J72" i="1"/>
  <c r="H72" i="1"/>
  <c r="E72" i="1"/>
  <c r="F72" i="1" s="1"/>
  <c r="V71" i="1"/>
  <c r="T71" i="1"/>
  <c r="R71" i="1"/>
  <c r="P71" i="1"/>
  <c r="N71" i="1"/>
  <c r="L71" i="1"/>
  <c r="J71" i="1"/>
  <c r="H71" i="1"/>
  <c r="E71" i="1"/>
  <c r="F71" i="1" s="1"/>
  <c r="V70" i="1"/>
  <c r="T70" i="1"/>
  <c r="R70" i="1"/>
  <c r="P70" i="1"/>
  <c r="N70" i="1"/>
  <c r="L70" i="1"/>
  <c r="J70" i="1"/>
  <c r="H70" i="1"/>
  <c r="E70" i="1"/>
  <c r="F70" i="1" s="1"/>
  <c r="V69" i="1"/>
  <c r="V83" i="1" s="1"/>
  <c r="T69" i="1"/>
  <c r="T83" i="1" s="1"/>
  <c r="R69" i="1"/>
  <c r="R83" i="1" s="1"/>
  <c r="P69" i="1"/>
  <c r="P83" i="1" s="1"/>
  <c r="N69" i="1"/>
  <c r="N83" i="1" s="1"/>
  <c r="L69" i="1"/>
  <c r="J69" i="1"/>
  <c r="H69" i="1"/>
  <c r="E69" i="1"/>
  <c r="F57" i="1"/>
  <c r="F60" i="1" s="1"/>
  <c r="F56" i="1"/>
  <c r="F59" i="1" s="1"/>
  <c r="E53" i="1"/>
  <c r="F62" i="1" s="1"/>
  <c r="E23" i="1"/>
  <c r="F32" i="1"/>
  <c r="F27" i="1"/>
  <c r="F30" i="1" s="1"/>
  <c r="F26" i="1"/>
  <c r="F29" i="1" s="1"/>
  <c r="F69" i="1" l="1"/>
  <c r="F87" i="1" s="1"/>
  <c r="F90" i="1" s="1"/>
  <c r="E83" i="1"/>
  <c r="F92" i="1" s="1"/>
  <c r="F86" i="1"/>
  <c r="F89" i="1" s="1"/>
  <c r="J83" i="1"/>
  <c r="L83" i="1"/>
  <c r="H83" i="1"/>
  <c r="E113" i="1"/>
  <c r="F122" i="1" s="1"/>
  <c r="F99" i="1"/>
  <c r="F116" i="1"/>
  <c r="F105" i="1"/>
  <c r="F117" i="1" s="1"/>
  <c r="L334" i="1" l="1"/>
  <c r="H334" i="1"/>
  <c r="E277" i="1"/>
  <c r="F277" i="1"/>
  <c r="E315" i="1"/>
  <c r="F315" i="1"/>
  <c r="H315" i="1"/>
  <c r="J315" i="1"/>
  <c r="L315" i="1"/>
  <c r="N315" i="1"/>
  <c r="P315" i="1"/>
  <c r="R315" i="1"/>
  <c r="T315" i="1"/>
  <c r="V315" i="1"/>
  <c r="E248" i="1"/>
  <c r="J250" i="1"/>
  <c r="E198" i="1"/>
  <c r="V346" i="1"/>
  <c r="T346" i="1"/>
  <c r="R346" i="1"/>
  <c r="P346" i="1"/>
  <c r="N346" i="1"/>
  <c r="L346" i="1"/>
  <c r="J346" i="1"/>
  <c r="H346" i="1"/>
  <c r="E346" i="1"/>
  <c r="F346" i="1" s="1"/>
  <c r="V345" i="1"/>
  <c r="T345" i="1"/>
  <c r="R345" i="1"/>
  <c r="P345" i="1"/>
  <c r="N345" i="1"/>
  <c r="L345" i="1"/>
  <c r="J345" i="1"/>
  <c r="H345" i="1"/>
  <c r="E345" i="1"/>
  <c r="F345" i="1" s="1"/>
  <c r="V344" i="1"/>
  <c r="T344" i="1"/>
  <c r="R344" i="1"/>
  <c r="P344" i="1"/>
  <c r="N344" i="1"/>
  <c r="L344" i="1"/>
  <c r="J344" i="1"/>
  <c r="H344" i="1"/>
  <c r="E344" i="1"/>
  <c r="F344" i="1" s="1"/>
  <c r="V343" i="1"/>
  <c r="T343" i="1"/>
  <c r="R343" i="1"/>
  <c r="P343" i="1"/>
  <c r="N343" i="1"/>
  <c r="L343" i="1"/>
  <c r="J343" i="1"/>
  <c r="H343" i="1"/>
  <c r="E343" i="1"/>
  <c r="F343" i="1" s="1"/>
  <c r="V342" i="1"/>
  <c r="T342" i="1"/>
  <c r="R342" i="1"/>
  <c r="P342" i="1"/>
  <c r="N342" i="1"/>
  <c r="L342" i="1"/>
  <c r="J342" i="1"/>
  <c r="H342" i="1"/>
  <c r="E342" i="1"/>
  <c r="F342" i="1" s="1"/>
  <c r="V341" i="1"/>
  <c r="T341" i="1"/>
  <c r="R341" i="1"/>
  <c r="P341" i="1"/>
  <c r="N341" i="1"/>
  <c r="L341" i="1"/>
  <c r="J341" i="1"/>
  <c r="H341" i="1"/>
  <c r="E341" i="1"/>
  <c r="F341" i="1" s="1"/>
  <c r="V340" i="1"/>
  <c r="T340" i="1"/>
  <c r="R340" i="1"/>
  <c r="P340" i="1"/>
  <c r="N340" i="1"/>
  <c r="L340" i="1"/>
  <c r="J340" i="1"/>
  <c r="H340" i="1"/>
  <c r="E340" i="1"/>
  <c r="F340" i="1" s="1"/>
  <c r="V339" i="1"/>
  <c r="T339" i="1"/>
  <c r="R339" i="1"/>
  <c r="P339" i="1"/>
  <c r="N339" i="1"/>
  <c r="L339" i="1"/>
  <c r="J339" i="1"/>
  <c r="H339" i="1"/>
  <c r="E339" i="1"/>
  <c r="F339" i="1" s="1"/>
  <c r="V338" i="1"/>
  <c r="T338" i="1"/>
  <c r="R338" i="1"/>
  <c r="P338" i="1"/>
  <c r="N338" i="1"/>
  <c r="L338" i="1"/>
  <c r="J338" i="1"/>
  <c r="H338" i="1"/>
  <c r="E338" i="1"/>
  <c r="F338" i="1" s="1"/>
  <c r="V337" i="1"/>
  <c r="T337" i="1"/>
  <c r="R337" i="1"/>
  <c r="P337" i="1"/>
  <c r="N337" i="1"/>
  <c r="L337" i="1"/>
  <c r="J337" i="1"/>
  <c r="H337" i="1"/>
  <c r="E337" i="1"/>
  <c r="F337" i="1" s="1"/>
  <c r="V336" i="1"/>
  <c r="T336" i="1"/>
  <c r="R336" i="1"/>
  <c r="P336" i="1"/>
  <c r="N336" i="1"/>
  <c r="L336" i="1"/>
  <c r="J336" i="1"/>
  <c r="H336" i="1"/>
  <c r="E336" i="1"/>
  <c r="F336" i="1" s="1"/>
  <c r="F356" i="1" s="1"/>
  <c r="V335" i="1"/>
  <c r="T335" i="1"/>
  <c r="R335" i="1"/>
  <c r="P335" i="1"/>
  <c r="N335" i="1"/>
  <c r="L335" i="1"/>
  <c r="J335" i="1"/>
  <c r="H335" i="1"/>
  <c r="E335" i="1"/>
  <c r="F335" i="1" s="1"/>
  <c r="V334" i="1"/>
  <c r="V347" i="1" s="1"/>
  <c r="U330" i="1" s="1"/>
  <c r="T334" i="1"/>
  <c r="T347" i="1" s="1"/>
  <c r="S330" i="1" s="1"/>
  <c r="R334" i="1"/>
  <c r="R347" i="1" s="1"/>
  <c r="Q330" i="1" s="1"/>
  <c r="P334" i="1"/>
  <c r="P347" i="1" s="1"/>
  <c r="O330" i="1" s="1"/>
  <c r="N334" i="1"/>
  <c r="N347" i="1" s="1"/>
  <c r="M330" i="1" s="1"/>
  <c r="L347" i="1"/>
  <c r="K330" i="1" s="1"/>
  <c r="J334" i="1"/>
  <c r="J347" i="1" s="1"/>
  <c r="I330" i="1" s="1"/>
  <c r="H347" i="1"/>
  <c r="G330" i="1" s="1"/>
  <c r="E334" i="1"/>
  <c r="F334" i="1" s="1"/>
  <c r="F351" i="1" s="1"/>
  <c r="V317" i="1"/>
  <c r="T317" i="1"/>
  <c r="R317" i="1"/>
  <c r="P317" i="1"/>
  <c r="N317" i="1"/>
  <c r="L317" i="1"/>
  <c r="J317" i="1"/>
  <c r="H317" i="1"/>
  <c r="E317" i="1"/>
  <c r="F317" i="1" s="1"/>
  <c r="V316" i="1"/>
  <c r="T316" i="1"/>
  <c r="R316" i="1"/>
  <c r="P316" i="1"/>
  <c r="N316" i="1"/>
  <c r="L316" i="1"/>
  <c r="J316" i="1"/>
  <c r="H316" i="1"/>
  <c r="E316" i="1"/>
  <c r="F316" i="1" s="1"/>
  <c r="V314" i="1"/>
  <c r="T314" i="1"/>
  <c r="R314" i="1"/>
  <c r="P314" i="1"/>
  <c r="N314" i="1"/>
  <c r="L314" i="1"/>
  <c r="J314" i="1"/>
  <c r="H314" i="1"/>
  <c r="E314" i="1"/>
  <c r="F314" i="1" s="1"/>
  <c r="V313" i="1"/>
  <c r="T313" i="1"/>
  <c r="R313" i="1"/>
  <c r="P313" i="1"/>
  <c r="N313" i="1"/>
  <c r="L313" i="1"/>
  <c r="J313" i="1"/>
  <c r="H313" i="1"/>
  <c r="E313" i="1"/>
  <c r="F313" i="1" s="1"/>
  <c r="V312" i="1"/>
  <c r="T312" i="1"/>
  <c r="R312" i="1"/>
  <c r="P312" i="1"/>
  <c r="N312" i="1"/>
  <c r="L312" i="1"/>
  <c r="J312" i="1"/>
  <c r="H312" i="1"/>
  <c r="E312" i="1"/>
  <c r="F312" i="1" s="1"/>
  <c r="V311" i="1"/>
  <c r="T311" i="1"/>
  <c r="R311" i="1"/>
  <c r="P311" i="1"/>
  <c r="N311" i="1"/>
  <c r="L311" i="1"/>
  <c r="J311" i="1"/>
  <c r="H311" i="1"/>
  <c r="E311" i="1"/>
  <c r="F311" i="1" s="1"/>
  <c r="V310" i="1"/>
  <c r="T310" i="1"/>
  <c r="R310" i="1"/>
  <c r="P310" i="1"/>
  <c r="N310" i="1"/>
  <c r="L310" i="1"/>
  <c r="J310" i="1"/>
  <c r="H310" i="1"/>
  <c r="E310" i="1"/>
  <c r="F310" i="1" s="1"/>
  <c r="V309" i="1"/>
  <c r="T309" i="1"/>
  <c r="R309" i="1"/>
  <c r="P309" i="1"/>
  <c r="N309" i="1"/>
  <c r="L309" i="1"/>
  <c r="J309" i="1"/>
  <c r="H309" i="1"/>
  <c r="E309" i="1"/>
  <c r="F309" i="1" s="1"/>
  <c r="V308" i="1"/>
  <c r="T308" i="1"/>
  <c r="R308" i="1"/>
  <c r="P308" i="1"/>
  <c r="N308" i="1"/>
  <c r="L308" i="1"/>
  <c r="J308" i="1"/>
  <c r="H308" i="1"/>
  <c r="E308" i="1"/>
  <c r="F308" i="1" s="1"/>
  <c r="V307" i="1"/>
  <c r="T307" i="1"/>
  <c r="R307" i="1"/>
  <c r="P307" i="1"/>
  <c r="N307" i="1"/>
  <c r="L307" i="1"/>
  <c r="J307" i="1"/>
  <c r="H307" i="1"/>
  <c r="E307" i="1"/>
  <c r="F307" i="1" s="1"/>
  <c r="F327" i="1" s="1"/>
  <c r="V306" i="1"/>
  <c r="T306" i="1"/>
  <c r="R306" i="1"/>
  <c r="P306" i="1"/>
  <c r="N306" i="1"/>
  <c r="L306" i="1"/>
  <c r="J306" i="1"/>
  <c r="H306" i="1"/>
  <c r="E306" i="1"/>
  <c r="F306" i="1" s="1"/>
  <c r="V305" i="1"/>
  <c r="V318" i="1" s="1"/>
  <c r="U301" i="1" s="1"/>
  <c r="T305" i="1"/>
  <c r="T318" i="1" s="1"/>
  <c r="S301" i="1" s="1"/>
  <c r="R305" i="1"/>
  <c r="R318" i="1" s="1"/>
  <c r="Q301" i="1" s="1"/>
  <c r="P305" i="1"/>
  <c r="P318" i="1" s="1"/>
  <c r="O301" i="1" s="1"/>
  <c r="N305" i="1"/>
  <c r="N318" i="1" s="1"/>
  <c r="M301" i="1" s="1"/>
  <c r="L305" i="1"/>
  <c r="L318" i="1" s="1"/>
  <c r="K301" i="1" s="1"/>
  <c r="J305" i="1"/>
  <c r="J318" i="1" s="1"/>
  <c r="I301" i="1" s="1"/>
  <c r="H305" i="1"/>
  <c r="H318" i="1" s="1"/>
  <c r="G301" i="1" s="1"/>
  <c r="E305" i="1"/>
  <c r="V288" i="1"/>
  <c r="T288" i="1"/>
  <c r="R288" i="1"/>
  <c r="P288" i="1"/>
  <c r="N288" i="1"/>
  <c r="L288" i="1"/>
  <c r="J288" i="1"/>
  <c r="H288" i="1"/>
  <c r="E288" i="1"/>
  <c r="F288" i="1" s="1"/>
  <c r="V287" i="1"/>
  <c r="T287" i="1"/>
  <c r="R287" i="1"/>
  <c r="P287" i="1"/>
  <c r="N287" i="1"/>
  <c r="L287" i="1"/>
  <c r="J287" i="1"/>
  <c r="H287" i="1"/>
  <c r="E287" i="1"/>
  <c r="F287" i="1" s="1"/>
  <c r="V286" i="1"/>
  <c r="T286" i="1"/>
  <c r="R286" i="1"/>
  <c r="P286" i="1"/>
  <c r="N286" i="1"/>
  <c r="L286" i="1"/>
  <c r="J286" i="1"/>
  <c r="H286" i="1"/>
  <c r="E286" i="1"/>
  <c r="F286" i="1" s="1"/>
  <c r="V285" i="1"/>
  <c r="T285" i="1"/>
  <c r="R285" i="1"/>
  <c r="P285" i="1"/>
  <c r="N285" i="1"/>
  <c r="L285" i="1"/>
  <c r="J285" i="1"/>
  <c r="H285" i="1"/>
  <c r="E285" i="1"/>
  <c r="F285" i="1" s="1"/>
  <c r="V284" i="1"/>
  <c r="T284" i="1"/>
  <c r="R284" i="1"/>
  <c r="P284" i="1"/>
  <c r="N284" i="1"/>
  <c r="L284" i="1"/>
  <c r="J284" i="1"/>
  <c r="H284" i="1"/>
  <c r="E284" i="1"/>
  <c r="F284" i="1" s="1"/>
  <c r="V283" i="1"/>
  <c r="T283" i="1"/>
  <c r="R283" i="1"/>
  <c r="P283" i="1"/>
  <c r="N283" i="1"/>
  <c r="L283" i="1"/>
  <c r="J283" i="1"/>
  <c r="H283" i="1"/>
  <c r="E283" i="1"/>
  <c r="F283" i="1" s="1"/>
  <c r="V282" i="1"/>
  <c r="T282" i="1"/>
  <c r="R282" i="1"/>
  <c r="P282" i="1"/>
  <c r="N282" i="1"/>
  <c r="L282" i="1"/>
  <c r="J282" i="1"/>
  <c r="H282" i="1"/>
  <c r="E282" i="1"/>
  <c r="F282" i="1" s="1"/>
  <c r="V281" i="1"/>
  <c r="T281" i="1"/>
  <c r="R281" i="1"/>
  <c r="P281" i="1"/>
  <c r="N281" i="1"/>
  <c r="L281" i="1"/>
  <c r="J281" i="1"/>
  <c r="H281" i="1"/>
  <c r="E281" i="1"/>
  <c r="F281" i="1" s="1"/>
  <c r="V280" i="1"/>
  <c r="T280" i="1"/>
  <c r="R280" i="1"/>
  <c r="P280" i="1"/>
  <c r="N280" i="1"/>
  <c r="L280" i="1"/>
  <c r="J280" i="1"/>
  <c r="H280" i="1"/>
  <c r="E280" i="1"/>
  <c r="F280" i="1" s="1"/>
  <c r="V279" i="1"/>
  <c r="T279" i="1"/>
  <c r="R279" i="1"/>
  <c r="P279" i="1"/>
  <c r="N279" i="1"/>
  <c r="L279" i="1"/>
  <c r="J279" i="1"/>
  <c r="H279" i="1"/>
  <c r="E279" i="1"/>
  <c r="F279" i="1" s="1"/>
  <c r="V278" i="1"/>
  <c r="T278" i="1"/>
  <c r="R278" i="1"/>
  <c r="P278" i="1"/>
  <c r="N278" i="1"/>
  <c r="L278" i="1"/>
  <c r="J278" i="1"/>
  <c r="H278" i="1"/>
  <c r="E278" i="1"/>
  <c r="F278" i="1" s="1"/>
  <c r="F298" i="1" s="1"/>
  <c r="V277" i="1"/>
  <c r="T277" i="1"/>
  <c r="R277" i="1"/>
  <c r="P277" i="1"/>
  <c r="N277" i="1"/>
  <c r="L277" i="1"/>
  <c r="J277" i="1"/>
  <c r="H277" i="1"/>
  <c r="V276" i="1"/>
  <c r="V289" i="1" s="1"/>
  <c r="U272" i="1" s="1"/>
  <c r="T276" i="1"/>
  <c r="T289" i="1" s="1"/>
  <c r="S272" i="1" s="1"/>
  <c r="R276" i="1"/>
  <c r="R289" i="1" s="1"/>
  <c r="Q272" i="1" s="1"/>
  <c r="P276" i="1"/>
  <c r="P289" i="1" s="1"/>
  <c r="O272" i="1" s="1"/>
  <c r="N276" i="1"/>
  <c r="N289" i="1" s="1"/>
  <c r="M272" i="1" s="1"/>
  <c r="L276" i="1"/>
  <c r="L289" i="1" s="1"/>
  <c r="K272" i="1" s="1"/>
  <c r="J276" i="1"/>
  <c r="J289" i="1" s="1"/>
  <c r="I272" i="1" s="1"/>
  <c r="H276" i="1"/>
  <c r="H289" i="1" s="1"/>
  <c r="G272" i="1" s="1"/>
  <c r="E276" i="1"/>
  <c r="F276" i="1" s="1"/>
  <c r="V259" i="1"/>
  <c r="T259" i="1"/>
  <c r="R259" i="1"/>
  <c r="P259" i="1"/>
  <c r="N259" i="1"/>
  <c r="L259" i="1"/>
  <c r="J259" i="1"/>
  <c r="H259" i="1"/>
  <c r="E259" i="1"/>
  <c r="F259" i="1" s="1"/>
  <c r="V258" i="1"/>
  <c r="T258" i="1"/>
  <c r="R258" i="1"/>
  <c r="P258" i="1"/>
  <c r="N258" i="1"/>
  <c r="L258" i="1"/>
  <c r="J258" i="1"/>
  <c r="H258" i="1"/>
  <c r="E258" i="1"/>
  <c r="F258" i="1" s="1"/>
  <c r="V257" i="1"/>
  <c r="T257" i="1"/>
  <c r="R257" i="1"/>
  <c r="P257" i="1"/>
  <c r="N257" i="1"/>
  <c r="L257" i="1"/>
  <c r="J257" i="1"/>
  <c r="H257" i="1"/>
  <c r="E257" i="1"/>
  <c r="F257" i="1" s="1"/>
  <c r="V256" i="1"/>
  <c r="T256" i="1"/>
  <c r="R256" i="1"/>
  <c r="P256" i="1"/>
  <c r="N256" i="1"/>
  <c r="L256" i="1"/>
  <c r="J256" i="1"/>
  <c r="H256" i="1"/>
  <c r="E256" i="1"/>
  <c r="F256" i="1" s="1"/>
  <c r="V255" i="1"/>
  <c r="T255" i="1"/>
  <c r="R255" i="1"/>
  <c r="P255" i="1"/>
  <c r="N255" i="1"/>
  <c r="L255" i="1"/>
  <c r="J255" i="1"/>
  <c r="H255" i="1"/>
  <c r="E255" i="1"/>
  <c r="F255" i="1" s="1"/>
  <c r="V254" i="1"/>
  <c r="T254" i="1"/>
  <c r="R254" i="1"/>
  <c r="P254" i="1"/>
  <c r="N254" i="1"/>
  <c r="L254" i="1"/>
  <c r="J254" i="1"/>
  <c r="H254" i="1"/>
  <c r="E254" i="1"/>
  <c r="F254" i="1" s="1"/>
  <c r="V253" i="1"/>
  <c r="T253" i="1"/>
  <c r="R253" i="1"/>
  <c r="P253" i="1"/>
  <c r="N253" i="1"/>
  <c r="L253" i="1"/>
  <c r="J253" i="1"/>
  <c r="H253" i="1"/>
  <c r="E253" i="1"/>
  <c r="F253" i="1" s="1"/>
  <c r="V252" i="1"/>
  <c r="T252" i="1"/>
  <c r="R252" i="1"/>
  <c r="P252" i="1"/>
  <c r="N252" i="1"/>
  <c r="J252" i="1"/>
  <c r="H252" i="1"/>
  <c r="E252" i="1"/>
  <c r="F252" i="1" s="1"/>
  <c r="V251" i="1"/>
  <c r="T251" i="1"/>
  <c r="R251" i="1"/>
  <c r="P251" i="1"/>
  <c r="N251" i="1"/>
  <c r="L251" i="1"/>
  <c r="J251" i="1"/>
  <c r="H251" i="1"/>
  <c r="E251" i="1"/>
  <c r="F251" i="1" s="1"/>
  <c r="V250" i="1"/>
  <c r="T250" i="1"/>
  <c r="R250" i="1"/>
  <c r="P250" i="1"/>
  <c r="N250" i="1"/>
  <c r="L250" i="1"/>
  <c r="H250" i="1"/>
  <c r="E250" i="1"/>
  <c r="F250" i="1" s="1"/>
  <c r="V249" i="1"/>
  <c r="T249" i="1"/>
  <c r="R249" i="1"/>
  <c r="P249" i="1"/>
  <c r="N249" i="1"/>
  <c r="L249" i="1"/>
  <c r="J249" i="1"/>
  <c r="H249" i="1"/>
  <c r="E249" i="1"/>
  <c r="F249" i="1" s="1"/>
  <c r="F269" i="1" s="1"/>
  <c r="V248" i="1"/>
  <c r="T248" i="1"/>
  <c r="R248" i="1"/>
  <c r="P248" i="1"/>
  <c r="N248" i="1"/>
  <c r="L248" i="1"/>
  <c r="J248" i="1"/>
  <c r="H248" i="1"/>
  <c r="F248" i="1"/>
  <c r="V247" i="1"/>
  <c r="V260" i="1" s="1"/>
  <c r="U243" i="1" s="1"/>
  <c r="T247" i="1"/>
  <c r="T260" i="1" s="1"/>
  <c r="S243" i="1" s="1"/>
  <c r="R247" i="1"/>
  <c r="R260" i="1" s="1"/>
  <c r="Q243" i="1" s="1"/>
  <c r="P247" i="1"/>
  <c r="P260" i="1" s="1"/>
  <c r="O243" i="1" s="1"/>
  <c r="N247" i="1"/>
  <c r="N260" i="1" s="1"/>
  <c r="M243" i="1" s="1"/>
  <c r="L247" i="1"/>
  <c r="L260" i="1" s="1"/>
  <c r="K243" i="1" s="1"/>
  <c r="J247" i="1"/>
  <c r="H247" i="1"/>
  <c r="H260" i="1" s="1"/>
  <c r="G243" i="1" s="1"/>
  <c r="E247" i="1"/>
  <c r="V230" i="1"/>
  <c r="T230" i="1"/>
  <c r="R230" i="1"/>
  <c r="P230" i="1"/>
  <c r="N230" i="1"/>
  <c r="L230" i="1"/>
  <c r="J230" i="1"/>
  <c r="H230" i="1"/>
  <c r="E230" i="1"/>
  <c r="F230" i="1" s="1"/>
  <c r="V229" i="1"/>
  <c r="T229" i="1"/>
  <c r="R229" i="1"/>
  <c r="P229" i="1"/>
  <c r="N229" i="1"/>
  <c r="L229" i="1"/>
  <c r="J229" i="1"/>
  <c r="H229" i="1"/>
  <c r="E229" i="1"/>
  <c r="F229" i="1" s="1"/>
  <c r="V228" i="1"/>
  <c r="T228" i="1"/>
  <c r="R228" i="1"/>
  <c r="P228" i="1"/>
  <c r="N228" i="1"/>
  <c r="L228" i="1"/>
  <c r="J228" i="1"/>
  <c r="H228" i="1"/>
  <c r="E228" i="1"/>
  <c r="F228" i="1" s="1"/>
  <c r="V227" i="1"/>
  <c r="T227" i="1"/>
  <c r="R227" i="1"/>
  <c r="P227" i="1"/>
  <c r="N227" i="1"/>
  <c r="L227" i="1"/>
  <c r="J227" i="1"/>
  <c r="H227" i="1"/>
  <c r="E227" i="1"/>
  <c r="F227" i="1" s="1"/>
  <c r="V226" i="1"/>
  <c r="T226" i="1"/>
  <c r="R226" i="1"/>
  <c r="P226" i="1"/>
  <c r="N226" i="1"/>
  <c r="L226" i="1"/>
  <c r="J226" i="1"/>
  <c r="H226" i="1"/>
  <c r="E226" i="1"/>
  <c r="F226" i="1" s="1"/>
  <c r="V225" i="1"/>
  <c r="T225" i="1"/>
  <c r="R225" i="1"/>
  <c r="P225" i="1"/>
  <c r="N225" i="1"/>
  <c r="L225" i="1"/>
  <c r="J225" i="1"/>
  <c r="H225" i="1"/>
  <c r="E225" i="1"/>
  <c r="F225" i="1" s="1"/>
  <c r="V224" i="1"/>
  <c r="T224" i="1"/>
  <c r="R224" i="1"/>
  <c r="P224" i="1"/>
  <c r="N224" i="1"/>
  <c r="L224" i="1"/>
  <c r="J224" i="1"/>
  <c r="H224" i="1"/>
  <c r="E224" i="1"/>
  <c r="F224" i="1" s="1"/>
  <c r="V223" i="1"/>
  <c r="T223" i="1"/>
  <c r="R223" i="1"/>
  <c r="P223" i="1"/>
  <c r="N223" i="1"/>
  <c r="L223" i="1"/>
  <c r="J223" i="1"/>
  <c r="H223" i="1"/>
  <c r="E223" i="1"/>
  <c r="F223" i="1" s="1"/>
  <c r="V222" i="1"/>
  <c r="T222" i="1"/>
  <c r="R222" i="1"/>
  <c r="P222" i="1"/>
  <c r="N222" i="1"/>
  <c r="L222" i="1"/>
  <c r="J222" i="1"/>
  <c r="H222" i="1"/>
  <c r="E222" i="1"/>
  <c r="F222" i="1" s="1"/>
  <c r="V221" i="1"/>
  <c r="T221" i="1"/>
  <c r="R221" i="1"/>
  <c r="P221" i="1"/>
  <c r="N221" i="1"/>
  <c r="L221" i="1"/>
  <c r="J221" i="1"/>
  <c r="H221" i="1"/>
  <c r="E221" i="1"/>
  <c r="F221" i="1" s="1"/>
  <c r="F240" i="1" s="1"/>
  <c r="V220" i="1"/>
  <c r="T220" i="1"/>
  <c r="R220" i="1"/>
  <c r="P220" i="1"/>
  <c r="N220" i="1"/>
  <c r="L220" i="1"/>
  <c r="J220" i="1"/>
  <c r="H220" i="1"/>
  <c r="E220" i="1"/>
  <c r="F220" i="1" s="1"/>
  <c r="V219" i="1"/>
  <c r="T219" i="1"/>
  <c r="R219" i="1"/>
  <c r="P219" i="1"/>
  <c r="N219" i="1"/>
  <c r="L219" i="1"/>
  <c r="J219" i="1"/>
  <c r="H219" i="1"/>
  <c r="E219" i="1"/>
  <c r="F219" i="1" s="1"/>
  <c r="V218" i="1"/>
  <c r="V231" i="1" s="1"/>
  <c r="U214" i="1" s="1"/>
  <c r="T218" i="1"/>
  <c r="T231" i="1" s="1"/>
  <c r="S214" i="1" s="1"/>
  <c r="R218" i="1"/>
  <c r="R231" i="1" s="1"/>
  <c r="Q214" i="1" s="1"/>
  <c r="P218" i="1"/>
  <c r="P231" i="1" s="1"/>
  <c r="O214" i="1" s="1"/>
  <c r="N218" i="1"/>
  <c r="N231" i="1" s="1"/>
  <c r="M214" i="1" s="1"/>
  <c r="L218" i="1"/>
  <c r="L231" i="1" s="1"/>
  <c r="K214" i="1" s="1"/>
  <c r="J218" i="1"/>
  <c r="J231" i="1" s="1"/>
  <c r="I214" i="1" s="1"/>
  <c r="H218" i="1"/>
  <c r="H231" i="1" s="1"/>
  <c r="G214" i="1" s="1"/>
  <c r="E218" i="1"/>
  <c r="V201" i="1"/>
  <c r="T201" i="1"/>
  <c r="R201" i="1"/>
  <c r="P201" i="1"/>
  <c r="N201" i="1"/>
  <c r="L201" i="1"/>
  <c r="J201" i="1"/>
  <c r="H201" i="1"/>
  <c r="E201" i="1"/>
  <c r="F201" i="1" s="1"/>
  <c r="V200" i="1"/>
  <c r="T200" i="1"/>
  <c r="R200" i="1"/>
  <c r="P200" i="1"/>
  <c r="N200" i="1"/>
  <c r="L200" i="1"/>
  <c r="J200" i="1"/>
  <c r="H200" i="1"/>
  <c r="E200" i="1"/>
  <c r="F200" i="1" s="1"/>
  <c r="V199" i="1"/>
  <c r="T199" i="1"/>
  <c r="R199" i="1"/>
  <c r="P199" i="1"/>
  <c r="N199" i="1"/>
  <c r="L199" i="1"/>
  <c r="J199" i="1"/>
  <c r="H199" i="1"/>
  <c r="E199" i="1"/>
  <c r="F199" i="1" s="1"/>
  <c r="V198" i="1"/>
  <c r="T198" i="1"/>
  <c r="R198" i="1"/>
  <c r="P198" i="1"/>
  <c r="N198" i="1"/>
  <c r="L198" i="1"/>
  <c r="J198" i="1"/>
  <c r="H198" i="1"/>
  <c r="F198" i="1"/>
  <c r="V197" i="1"/>
  <c r="T197" i="1"/>
  <c r="R197" i="1"/>
  <c r="P197" i="1"/>
  <c r="N197" i="1"/>
  <c r="L197" i="1"/>
  <c r="J197" i="1"/>
  <c r="H197" i="1"/>
  <c r="E197" i="1"/>
  <c r="F197" i="1" s="1"/>
  <c r="V196" i="1"/>
  <c r="T196" i="1"/>
  <c r="R196" i="1"/>
  <c r="P196" i="1"/>
  <c r="N196" i="1"/>
  <c r="L196" i="1"/>
  <c r="J196" i="1"/>
  <c r="H196" i="1"/>
  <c r="E196" i="1"/>
  <c r="F196" i="1" s="1"/>
  <c r="V195" i="1"/>
  <c r="T195" i="1"/>
  <c r="R195" i="1"/>
  <c r="P195" i="1"/>
  <c r="N195" i="1"/>
  <c r="L195" i="1"/>
  <c r="J195" i="1"/>
  <c r="H195" i="1"/>
  <c r="E195" i="1"/>
  <c r="F195" i="1" s="1"/>
  <c r="V194" i="1"/>
  <c r="T194" i="1"/>
  <c r="R194" i="1"/>
  <c r="P194" i="1"/>
  <c r="N194" i="1"/>
  <c r="L194" i="1"/>
  <c r="J194" i="1"/>
  <c r="H194" i="1"/>
  <c r="E194" i="1"/>
  <c r="F194" i="1" s="1"/>
  <c r="V193" i="1"/>
  <c r="T193" i="1"/>
  <c r="R193" i="1"/>
  <c r="P193" i="1"/>
  <c r="N193" i="1"/>
  <c r="L193" i="1"/>
  <c r="J193" i="1"/>
  <c r="H193" i="1"/>
  <c r="E193" i="1"/>
  <c r="F193" i="1" s="1"/>
  <c r="V192" i="1"/>
  <c r="T192" i="1"/>
  <c r="R192" i="1"/>
  <c r="P192" i="1"/>
  <c r="N192" i="1"/>
  <c r="L192" i="1"/>
  <c r="J192" i="1"/>
  <c r="H192" i="1"/>
  <c r="E192" i="1"/>
  <c r="F192" i="1" s="1"/>
  <c r="V191" i="1"/>
  <c r="T191" i="1"/>
  <c r="R191" i="1"/>
  <c r="P191" i="1"/>
  <c r="N191" i="1"/>
  <c r="L191" i="1"/>
  <c r="J191" i="1"/>
  <c r="H191" i="1"/>
  <c r="E191" i="1"/>
  <c r="F191" i="1" s="1"/>
  <c r="F211" i="1" s="1"/>
  <c r="V190" i="1"/>
  <c r="T190" i="1"/>
  <c r="R190" i="1"/>
  <c r="P190" i="1"/>
  <c r="N190" i="1"/>
  <c r="L190" i="1"/>
  <c r="J190" i="1"/>
  <c r="H190" i="1"/>
  <c r="E190" i="1"/>
  <c r="F190" i="1" s="1"/>
  <c r="V189" i="1"/>
  <c r="V202" i="1" s="1"/>
  <c r="U185" i="1" s="1"/>
  <c r="T189" i="1"/>
  <c r="T202" i="1" s="1"/>
  <c r="S185" i="1" s="1"/>
  <c r="R189" i="1"/>
  <c r="R202" i="1" s="1"/>
  <c r="Q185" i="1" s="1"/>
  <c r="P189" i="1"/>
  <c r="P202" i="1" s="1"/>
  <c r="O185" i="1" s="1"/>
  <c r="N189" i="1"/>
  <c r="N202" i="1" s="1"/>
  <c r="M185" i="1" s="1"/>
  <c r="L189" i="1"/>
  <c r="L202" i="1" s="1"/>
  <c r="K185" i="1" s="1"/>
  <c r="J189" i="1"/>
  <c r="J202" i="1" s="1"/>
  <c r="I185" i="1" s="1"/>
  <c r="H189" i="1"/>
  <c r="H202" i="1" s="1"/>
  <c r="G185" i="1" s="1"/>
  <c r="E189" i="1"/>
  <c r="E162" i="1"/>
  <c r="V172" i="1"/>
  <c r="T172" i="1"/>
  <c r="R172" i="1"/>
  <c r="P172" i="1"/>
  <c r="N172" i="1"/>
  <c r="L172" i="1"/>
  <c r="J172" i="1"/>
  <c r="H172" i="1"/>
  <c r="E172" i="1"/>
  <c r="V171" i="1"/>
  <c r="T171" i="1"/>
  <c r="R171" i="1"/>
  <c r="P171" i="1"/>
  <c r="N171" i="1"/>
  <c r="L171" i="1"/>
  <c r="J171" i="1"/>
  <c r="H171" i="1"/>
  <c r="E171" i="1"/>
  <c r="V170" i="1"/>
  <c r="T170" i="1"/>
  <c r="R170" i="1"/>
  <c r="P170" i="1"/>
  <c r="N170" i="1"/>
  <c r="L170" i="1"/>
  <c r="J170" i="1"/>
  <c r="H170" i="1"/>
  <c r="E170" i="1"/>
  <c r="V169" i="1"/>
  <c r="T169" i="1"/>
  <c r="R169" i="1"/>
  <c r="P169" i="1"/>
  <c r="N169" i="1"/>
  <c r="L169" i="1"/>
  <c r="J169" i="1"/>
  <c r="H169" i="1"/>
  <c r="E169" i="1"/>
  <c r="V168" i="1"/>
  <c r="T168" i="1"/>
  <c r="R168" i="1"/>
  <c r="P168" i="1"/>
  <c r="N168" i="1"/>
  <c r="L168" i="1"/>
  <c r="J168" i="1"/>
  <c r="H168" i="1"/>
  <c r="E168" i="1"/>
  <c r="V167" i="1"/>
  <c r="T167" i="1"/>
  <c r="R167" i="1"/>
  <c r="P167" i="1"/>
  <c r="N167" i="1"/>
  <c r="L167" i="1"/>
  <c r="J167" i="1"/>
  <c r="H167" i="1"/>
  <c r="E167" i="1"/>
  <c r="V166" i="1"/>
  <c r="T166" i="1"/>
  <c r="R166" i="1"/>
  <c r="P166" i="1"/>
  <c r="N166" i="1"/>
  <c r="L166" i="1"/>
  <c r="J166" i="1"/>
  <c r="H166" i="1"/>
  <c r="E166" i="1"/>
  <c r="V165" i="1"/>
  <c r="T165" i="1"/>
  <c r="R165" i="1"/>
  <c r="P165" i="1"/>
  <c r="N165" i="1"/>
  <c r="L165" i="1"/>
  <c r="J165" i="1"/>
  <c r="H165" i="1"/>
  <c r="E165" i="1"/>
  <c r="V164" i="1"/>
  <c r="T164" i="1"/>
  <c r="R164" i="1"/>
  <c r="P164" i="1"/>
  <c r="N164" i="1"/>
  <c r="L164" i="1"/>
  <c r="J164" i="1"/>
  <c r="H164" i="1"/>
  <c r="E164" i="1"/>
  <c r="V163" i="1"/>
  <c r="T163" i="1"/>
  <c r="R163" i="1"/>
  <c r="P163" i="1"/>
  <c r="N163" i="1"/>
  <c r="L163" i="1"/>
  <c r="J163" i="1"/>
  <c r="H163" i="1"/>
  <c r="E163" i="1"/>
  <c r="V162" i="1"/>
  <c r="T162" i="1"/>
  <c r="R162" i="1"/>
  <c r="P162" i="1"/>
  <c r="N162" i="1"/>
  <c r="L162" i="1"/>
  <c r="J162" i="1"/>
  <c r="H162" i="1"/>
  <c r="V161" i="1"/>
  <c r="T161" i="1"/>
  <c r="R161" i="1"/>
  <c r="P161" i="1"/>
  <c r="N161" i="1"/>
  <c r="L161" i="1"/>
  <c r="J161" i="1"/>
  <c r="H161" i="1"/>
  <c r="E161" i="1"/>
  <c r="V160" i="1"/>
  <c r="T160" i="1"/>
  <c r="R160" i="1"/>
  <c r="P160" i="1"/>
  <c r="N160" i="1"/>
  <c r="L160" i="1"/>
  <c r="J160" i="1"/>
  <c r="H160" i="1"/>
  <c r="E160" i="1"/>
  <c r="W160" i="1" s="1"/>
  <c r="V159" i="1"/>
  <c r="T159" i="1"/>
  <c r="R159" i="1"/>
  <c r="P159" i="1"/>
  <c r="N159" i="1"/>
  <c r="L159" i="1"/>
  <c r="J159" i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V143" i="1"/>
  <c r="U125" i="1" s="1"/>
  <c r="T143" i="1"/>
  <c r="S125" i="1" s="1"/>
  <c r="R143" i="1"/>
  <c r="Q125" i="1" s="1"/>
  <c r="P143" i="1"/>
  <c r="O125" i="1" s="1"/>
  <c r="B44" i="2" s="1"/>
  <c r="N143" i="1"/>
  <c r="M125" i="1" s="1"/>
  <c r="B43" i="2" s="1"/>
  <c r="L143" i="1"/>
  <c r="K125" i="1" s="1"/>
  <c r="B42" i="2" s="1"/>
  <c r="J143" i="1"/>
  <c r="I125" i="1" s="1"/>
  <c r="B41" i="2" s="1"/>
  <c r="G125" i="1"/>
  <c r="B45" i="2" s="1"/>
  <c r="E129" i="1"/>
  <c r="E143" i="1" s="1"/>
  <c r="F152" i="1" s="1"/>
  <c r="G95" i="1"/>
  <c r="I95" i="1"/>
  <c r="B31" i="2" s="1"/>
  <c r="K95" i="1"/>
  <c r="B32" i="2" s="1"/>
  <c r="M95" i="1"/>
  <c r="B33" i="2" s="1"/>
  <c r="O95" i="1"/>
  <c r="B34" i="2" s="1"/>
  <c r="Q95" i="1"/>
  <c r="S95" i="1"/>
  <c r="U95" i="1"/>
  <c r="I117" i="1"/>
  <c r="M117" i="1" s="1"/>
  <c r="F119" i="1"/>
  <c r="F120" i="1"/>
  <c r="I120" i="1"/>
  <c r="F161" i="1" l="1"/>
  <c r="W161" i="1"/>
  <c r="F163" i="1"/>
  <c r="W163" i="1"/>
  <c r="F164" i="1"/>
  <c r="W164" i="1"/>
  <c r="F165" i="1"/>
  <c r="W165" i="1"/>
  <c r="F166" i="1"/>
  <c r="W166" i="1"/>
  <c r="F167" i="1"/>
  <c r="W167" i="1"/>
  <c r="F168" i="1"/>
  <c r="W168" i="1"/>
  <c r="F169" i="1"/>
  <c r="W169" i="1"/>
  <c r="F170" i="1"/>
  <c r="W170" i="1"/>
  <c r="F171" i="1"/>
  <c r="W171" i="1"/>
  <c r="F172" i="1"/>
  <c r="W172" i="1"/>
  <c r="F162" i="1"/>
  <c r="W162" i="1"/>
  <c r="B35" i="2"/>
  <c r="F160" i="1"/>
  <c r="E173" i="1"/>
  <c r="F176" i="1"/>
  <c r="N173" i="1"/>
  <c r="M155" i="1" s="1"/>
  <c r="L173" i="1"/>
  <c r="K155" i="1" s="1"/>
  <c r="J173" i="1"/>
  <c r="I155" i="1" s="1"/>
  <c r="P173" i="1"/>
  <c r="O155" i="1" s="1"/>
  <c r="R173" i="1"/>
  <c r="Q155" i="1" s="1"/>
  <c r="V173" i="1"/>
  <c r="U155" i="1" s="1"/>
  <c r="T173" i="1"/>
  <c r="S155" i="1" s="1"/>
  <c r="H173" i="1"/>
  <c r="G155" i="1" s="1"/>
  <c r="I122" i="1"/>
  <c r="M120" i="1"/>
  <c r="M122" i="1" s="1"/>
  <c r="M123" i="1" s="1"/>
  <c r="J260" i="1"/>
  <c r="I243" i="1" s="1"/>
  <c r="F350" i="1"/>
  <c r="F353" i="1" s="1"/>
  <c r="F321" i="1"/>
  <c r="F324" i="1" s="1"/>
  <c r="F305" i="1"/>
  <c r="F322" i="1" s="1"/>
  <c r="F292" i="1"/>
  <c r="F295" i="1" s="1"/>
  <c r="F293" i="1"/>
  <c r="F263" i="1"/>
  <c r="F266" i="1" s="1"/>
  <c r="F247" i="1"/>
  <c r="F264" i="1" s="1"/>
  <c r="F234" i="1"/>
  <c r="F237" i="1" s="1"/>
  <c r="F218" i="1"/>
  <c r="F235" i="1" s="1"/>
  <c r="F205" i="1"/>
  <c r="F208" i="1" s="1"/>
  <c r="F189" i="1"/>
  <c r="F206" i="1" s="1"/>
  <c r="F179" i="1"/>
  <c r="F159" i="1"/>
  <c r="F177" i="1" s="1"/>
  <c r="F146" i="1"/>
  <c r="F149" i="1" s="1"/>
  <c r="F129" i="1"/>
  <c r="F147" i="1" s="1"/>
  <c r="I147" i="1" s="1"/>
  <c r="K65" i="1"/>
  <c r="B23" i="2" s="1"/>
  <c r="I65" i="1"/>
  <c r="B22" i="2" s="1"/>
  <c r="Q65" i="1"/>
  <c r="U65" i="1"/>
  <c r="S65" i="1"/>
  <c r="O65" i="1"/>
  <c r="M65" i="1"/>
  <c r="B24" i="2" s="1"/>
  <c r="G65" i="1"/>
  <c r="B26" i="2" s="1"/>
  <c r="W173" i="1" l="1"/>
  <c r="I123" i="1"/>
  <c r="B30" i="2"/>
  <c r="F354" i="1"/>
  <c r="I354" i="1" s="1"/>
  <c r="I351" i="1"/>
  <c r="M351" i="1" s="1"/>
  <c r="F325" i="1"/>
  <c r="I325" i="1" s="1"/>
  <c r="I322" i="1"/>
  <c r="M322" i="1" s="1"/>
  <c r="F296" i="1"/>
  <c r="I296" i="1" s="1"/>
  <c r="I293" i="1"/>
  <c r="M293" i="1" s="1"/>
  <c r="F267" i="1"/>
  <c r="I267" i="1" s="1"/>
  <c r="I264" i="1"/>
  <c r="M264" i="1" s="1"/>
  <c r="F238" i="1"/>
  <c r="I238" i="1" s="1"/>
  <c r="I235" i="1"/>
  <c r="M235" i="1" s="1"/>
  <c r="F209" i="1"/>
  <c r="I209" i="1" s="1"/>
  <c r="I206" i="1"/>
  <c r="M206" i="1" s="1"/>
  <c r="F180" i="1"/>
  <c r="I180" i="1" s="1"/>
  <c r="I177" i="1"/>
  <c r="M177" i="1" s="1"/>
  <c r="F150" i="1"/>
  <c r="I150" i="1" s="1"/>
  <c r="M147" i="1"/>
  <c r="I90" i="1"/>
  <c r="I87" i="1"/>
  <c r="M87" i="1" s="1"/>
  <c r="V53" i="1"/>
  <c r="U35" i="1" s="1"/>
  <c r="J53" i="1"/>
  <c r="I35" i="1" s="1"/>
  <c r="B13" i="2" s="1"/>
  <c r="R53" i="1"/>
  <c r="Q35" i="1" s="1"/>
  <c r="T53" i="1"/>
  <c r="S35" i="1" s="1"/>
  <c r="H53" i="1"/>
  <c r="G35" i="1" s="1"/>
  <c r="B17" i="2" s="1"/>
  <c r="L53" i="1"/>
  <c r="K35" i="1" s="1"/>
  <c r="B14" i="2" s="1"/>
  <c r="N53" i="1"/>
  <c r="M35" i="1" s="1"/>
  <c r="B15" i="2" s="1"/>
  <c r="P53" i="1"/>
  <c r="O35" i="1" s="1"/>
  <c r="P23" i="1"/>
  <c r="O4" i="1" s="1"/>
  <c r="B7" i="2" s="1"/>
  <c r="H23" i="1"/>
  <c r="G4" i="1" s="1"/>
  <c r="B8" i="2" s="1"/>
  <c r="J23" i="1"/>
  <c r="I4" i="1" s="1"/>
  <c r="B4" i="2" s="1"/>
  <c r="L23" i="1"/>
  <c r="K4" i="1" s="1"/>
  <c r="B5" i="2" s="1"/>
  <c r="N23" i="1"/>
  <c r="M4" i="1" s="1"/>
  <c r="B6" i="2" s="1"/>
  <c r="R23" i="1"/>
  <c r="Q4" i="1" s="1"/>
  <c r="T23" i="1"/>
  <c r="S4" i="1" s="1"/>
  <c r="V23" i="1"/>
  <c r="U4" i="1" s="1"/>
  <c r="B9" i="2" s="1"/>
  <c r="F182" i="1" l="1"/>
  <c r="I356" i="1"/>
  <c r="I357" i="1" s="1"/>
  <c r="M354" i="1"/>
  <c r="I327" i="1"/>
  <c r="I328" i="1" s="1"/>
  <c r="M325" i="1"/>
  <c r="I298" i="1"/>
  <c r="I299" i="1" s="1"/>
  <c r="M296" i="1"/>
  <c r="I269" i="1"/>
  <c r="I270" i="1" s="1"/>
  <c r="M267" i="1"/>
  <c r="I240" i="1"/>
  <c r="I241" i="1" s="1"/>
  <c r="M238" i="1"/>
  <c r="I211" i="1"/>
  <c r="I212" i="1" s="1"/>
  <c r="M209" i="1"/>
  <c r="M180" i="1"/>
  <c r="I152" i="1"/>
  <c r="M150" i="1"/>
  <c r="I92" i="1"/>
  <c r="M90" i="1"/>
  <c r="I60" i="1"/>
  <c r="I62" i="1" s="1"/>
  <c r="B12" i="2" s="1"/>
  <c r="I57" i="1"/>
  <c r="M57" i="1" s="1"/>
  <c r="I30" i="1"/>
  <c r="I27" i="1"/>
  <c r="M27" i="1" s="1"/>
  <c r="I93" i="1" l="1"/>
  <c r="B21" i="2"/>
  <c r="I153" i="1"/>
  <c r="B40" i="2"/>
  <c r="M356" i="1"/>
  <c r="M357" i="1" s="1"/>
  <c r="M327" i="1"/>
  <c r="M328" i="1" s="1"/>
  <c r="M298" i="1"/>
  <c r="M299" i="1" s="1"/>
  <c r="M269" i="1"/>
  <c r="M270" i="1" s="1"/>
  <c r="M240" i="1"/>
  <c r="M241" i="1" s="1"/>
  <c r="M211" i="1"/>
  <c r="M212" i="1" s="1"/>
  <c r="M152" i="1"/>
  <c r="M153" i="1" s="1"/>
  <c r="M92" i="1"/>
  <c r="M93" i="1" s="1"/>
  <c r="M60" i="1"/>
  <c r="I63" i="1"/>
  <c r="M30" i="1"/>
  <c r="I32" i="1"/>
  <c r="I33" i="1" l="1"/>
  <c r="B3" i="2"/>
  <c r="M62" i="1"/>
  <c r="M63" i="1" s="1"/>
  <c r="M32" i="1"/>
  <c r="M33" i="1" s="1"/>
  <c r="M182" i="1"/>
  <c r="M183" i="1" s="1"/>
  <c r="I182" i="1"/>
  <c r="I183" i="1"/>
</calcChain>
</file>

<file path=xl/sharedStrings.xml><?xml version="1.0" encoding="utf-8"?>
<sst xmlns="http://schemas.openxmlformats.org/spreadsheetml/2006/main" count="860" uniqueCount="223">
  <si>
    <t>OPERACION - Coopmorteros</t>
  </si>
  <si>
    <t>OPERACIÓN COOPMORTEROS - Hace referencia a la cantidad del tiempo que el personal de IT esta disponible para soportar y mantener las unidades de negocio que ya se encuentran operativas y facturando.</t>
  </si>
  <si>
    <t>Costo Laboral %</t>
  </si>
  <si>
    <t>Horas asignadas</t>
  </si>
  <si>
    <t>Asignado $$ operación</t>
  </si>
  <si>
    <t>Adm.</t>
  </si>
  <si>
    <t>Energia</t>
  </si>
  <si>
    <t>Agua</t>
  </si>
  <si>
    <t>Tele.</t>
  </si>
  <si>
    <t>Canal 50</t>
  </si>
  <si>
    <t>CAC</t>
  </si>
  <si>
    <t>Alm. Taller.</t>
  </si>
  <si>
    <t>Serv. Sociales</t>
  </si>
  <si>
    <t>Hs. Asignadas</t>
  </si>
  <si>
    <t>Impacto $$</t>
  </si>
  <si>
    <t>Semana 1 - 05 al 11</t>
  </si>
  <si>
    <t>Semana 2 - 12 al 18</t>
  </si>
  <si>
    <t>Semana 3 -19 al 25</t>
  </si>
  <si>
    <t>Semana 4 - 26 al 31</t>
  </si>
  <si>
    <t>Enero 2026</t>
  </si>
  <si>
    <t>Leonardo Depetris</t>
  </si>
  <si>
    <t>Gestiones Cooptech / Accionamiento bombeo de crudo / Viaje Marcos Juarez / Diseño +Agua</t>
  </si>
  <si>
    <t xml:space="preserve">Presupuesto y presentación Marcos Juarez / Indicadores y variables calculadas +Agua / Reparación en cisterna de ósmosis </t>
  </si>
  <si>
    <t>Informe triple impacto / Testing control de bombas / Chapas Santa Rosa</t>
  </si>
  <si>
    <t>VACACIONES</t>
  </si>
  <si>
    <t>Claudio Bottero</t>
  </si>
  <si>
    <t>Trabajos varios datacenter / Cloudflare Unquillo / DB reloj fichero / reclamo ADIT / rack sepelio</t>
  </si>
  <si>
    <t xml:space="preserve">MKT Castelli / HLS Bingo 9 / Actualización K8S / Ajustes tacural </t>
  </si>
  <si>
    <t>MKT Santa Rosa Starlink / Actualiz. MQTT / Migración VMS proxmox / DB O.V. (Emi. Marangoni)</t>
  </si>
  <si>
    <t>Act. Unquillo / VM nueva MQTT / reunión B1Tech / server facturas Porteña</t>
  </si>
  <si>
    <t>Carola Clausen</t>
  </si>
  <si>
    <t>Ventas Cooptech</t>
  </si>
  <si>
    <t>Lorenzo Depetris</t>
  </si>
  <si>
    <t>Sensor ultrasónico / Soporte remoto Ucacha</t>
  </si>
  <si>
    <t>Sensor ultrasónico / Soporte remoto Ucacha / Problema reconectadores</t>
  </si>
  <si>
    <t>Soporte remoto Ucacha / Lector de pulsos / Problema reconectadores</t>
  </si>
  <si>
    <t>Problema reconectadores  / Viaje Santa Rosa</t>
  </si>
  <si>
    <t>Juan Gonzalez</t>
  </si>
  <si>
    <t>Reconecta Desktop</t>
  </si>
  <si>
    <t>Actualizaciones Provision / Alarmas Deadmen</t>
  </si>
  <si>
    <t>Alarmas Deadmen / Configuración K8S</t>
  </si>
  <si>
    <t>Julieta Costamagna</t>
  </si>
  <si>
    <t>O.V. Pña / Web Unquillo /Módulo recupero de materiales</t>
  </si>
  <si>
    <t>Módulo recupero de materiales / Módulo facturas proveedores</t>
  </si>
  <si>
    <t>Módulo factura proveedores / acueducto</t>
  </si>
  <si>
    <t>Módulo factura proveedores / acueducto / recupero de materiales</t>
  </si>
  <si>
    <t>Agustin Aressi</t>
  </si>
  <si>
    <t>Nuevas funcionalidades +Agua: optimización de gráficos</t>
  </si>
  <si>
    <t>Nuevas funcionalidades +Agua: órdebenes bombeo</t>
  </si>
  <si>
    <t>Nuevas funcionalidades +Agua: múltiple led /modificación microservicios</t>
  </si>
  <si>
    <t>Nuevas funcionalidades +Agua: Rio 3°</t>
  </si>
  <si>
    <t>Matías Gandino</t>
  </si>
  <si>
    <t>Sensores ultrasónicos / Analizadores de red</t>
  </si>
  <si>
    <t>Analizadores de red / Implementación Santa Rosa</t>
  </si>
  <si>
    <t>Analizadores de red</t>
  </si>
  <si>
    <t>xxx</t>
  </si>
  <si>
    <t>Costo laboral Enero</t>
  </si>
  <si>
    <t>Cotizacion dólar</t>
  </si>
  <si>
    <t>ASIGNACION TOTAL HORAS OPERACION</t>
  </si>
  <si>
    <t>ASIGNACION TOTAL $$$ OPERACION</t>
  </si>
  <si>
    <t>ASIGNACION TOTAL HORAS COOPTECH</t>
  </si>
  <si>
    <t>ASIGNACION TOTAL $$$ COOPTECH</t>
  </si>
  <si>
    <t>HORAS I+D A ACTIVAR</t>
  </si>
  <si>
    <t>LAS HORAS A ACTIVAR SON UN PORCENTAJE DE LAS HORAS DESIGNADAS A PROYECTOS DE COOPTECH</t>
  </si>
  <si>
    <t>HORAS ASIGNADAS A GASTO</t>
  </si>
  <si>
    <t>Semana 1 - 03 al 07</t>
  </si>
  <si>
    <t>Semana 2 - 10 al 14</t>
  </si>
  <si>
    <t>Semana 3 - 17 al 21</t>
  </si>
  <si>
    <t>Semana 4 - 24 al 28</t>
  </si>
  <si>
    <t>Febrero 2026</t>
  </si>
  <si>
    <t>Medidores de energía Itron / Tabla Reconecta / Reparación IdP recuperadas Cooper</t>
  </si>
  <si>
    <t>Armado Kits clientes Cooptech / Charla-Taller Cooptech / Evaluaciones de desempeño</t>
  </si>
  <si>
    <t>Metodología KanBan / demo +Agua</t>
  </si>
  <si>
    <t>Reunionces comerciales / Implementación Ucacha / Mejoras bombeo agua cruda</t>
  </si>
  <si>
    <t>Server facturas porteña / nodos k8s / mqtt energia / viaje miramar</t>
  </si>
  <si>
    <t>Actualizaciones varias / clientes coopcloud</t>
  </si>
  <si>
    <t>Actualizaciones server MQTT</t>
  </si>
  <si>
    <t>Limpieza VMs PMX / Implementación Ucacha / Agente Procoop / Rancher / VMs mutual</t>
  </si>
  <si>
    <t>Ventas cooptech</t>
  </si>
  <si>
    <t>Ticket maniobra reconectadores</t>
  </si>
  <si>
    <t>Viaje Santa Rosa / Armado Kits clientes Cooptech  / Charla-Taller Cooptech / Actualización devoto</t>
  </si>
  <si>
    <t>Accesorio Relé / Revision reco Marconi</t>
  </si>
  <si>
    <t>Implementación Ucacha</t>
  </si>
  <si>
    <t>Coopate / Alarmas deadmen / Provision</t>
  </si>
  <si>
    <t>Provision / Charla-Taller Cooptech / Reconecta</t>
  </si>
  <si>
    <t>Reconecta</t>
  </si>
  <si>
    <t>Provision: plan empresa</t>
  </si>
  <si>
    <t>Proveedores / Recupero de materiales / Acueducto / O.V. V.T. / API WISE</t>
  </si>
  <si>
    <t>O.V. Pña / Adelantos / Recupero materiales / API WISE</t>
  </si>
  <si>
    <t>Analitics Cooptech / Centinela</t>
  </si>
  <si>
    <t>Centinela / OV.V V.T. / Acueducto / Proveedores</t>
  </si>
  <si>
    <t>+Agua: tablero rio 3° / Ajustes gráficas</t>
  </si>
  <si>
    <t>+Agua: version mobile y nabvar</t>
  </si>
  <si>
    <t>Más Agua: ajustes de usuario</t>
  </si>
  <si>
    <t>Analizadores de red / Actualización Devoto</t>
  </si>
  <si>
    <t>Centralita generadores</t>
  </si>
  <si>
    <t>Costo laboral Febrero</t>
  </si>
  <si>
    <t>Marzo 2026</t>
  </si>
  <si>
    <t>Reuniones de alianzas comerciales/ desarrollos varios Cooptech</t>
  </si>
  <si>
    <t>Desarrollo Agua Potable / Automatización Castelli</t>
  </si>
  <si>
    <t>Automatización Castelli / Capacitación LV Redes e implementación en Rio 3°</t>
  </si>
  <si>
    <t>Reuniones comerciales / Ev. de desempeño / Seguimiento Castelli</t>
  </si>
  <si>
    <t>VMs influx / server Prometheus / streaming / Actualización Procoop / VM mutuales / limpieza Proxmox</t>
  </si>
  <si>
    <t>Server y backup Procoop / migración red interna / tickets IT</t>
  </si>
  <si>
    <t>VMs proxmox CSPM + CoopCloud / Bateríasshelter 10J</t>
  </si>
  <si>
    <t>Ticket Radio Rep. / Tickets rendimiento coopcloud / Server Integra Procoop</t>
  </si>
  <si>
    <t>Reuniones de Ventas Cooptech</t>
  </si>
  <si>
    <t>Sensor de nivel RS485 /API DNP3 / Soporte redes eléctricas</t>
  </si>
  <si>
    <t>API DNP3 / Soporte redes eléctricas</t>
  </si>
  <si>
    <t>Proyecto piloto Rio 3°</t>
  </si>
  <si>
    <t>Soporte tickes Reconecta Cooptech / Instalación Agua potable</t>
  </si>
  <si>
    <t>Provision (plan empresa)</t>
  </si>
  <si>
    <t>Provision (ONT instaladas)</t>
  </si>
  <si>
    <t>Provision (ONT instaladas) / Módulo suspensiones</t>
  </si>
  <si>
    <t>Facturas proveedores</t>
  </si>
  <si>
    <t>Facturas proveedores / Centinela / OV VT</t>
  </si>
  <si>
    <t>Facturas proveedores / provision / prepaga / acueducto</t>
  </si>
  <si>
    <t>LICENCIA</t>
  </si>
  <si>
    <t>MasAgua: autogestión dashboard</t>
  </si>
  <si>
    <t>MasAgua: edición de variables especiales</t>
  </si>
  <si>
    <t>MasAgua: indicadores múltivariable</t>
  </si>
  <si>
    <t>Monitoreo generadores</t>
  </si>
  <si>
    <t>Monitoreo generadores / Gralf ET132</t>
  </si>
  <si>
    <t>FINALIZACIÓN DE CONTRATO</t>
  </si>
  <si>
    <t>Costo laboral Marzo</t>
  </si>
  <si>
    <t>Semana 1 - 31 al 04</t>
  </si>
  <si>
    <t>Semana 2 - 07 al 11</t>
  </si>
  <si>
    <t>Semana 3 - 14 al 18</t>
  </si>
  <si>
    <t>Semana 4 - 21 al 25</t>
  </si>
  <si>
    <t>Semana 5 - 28 al 02</t>
  </si>
  <si>
    <t>Abril 2026</t>
  </si>
  <si>
    <t>Investigación Multivac 8 / Manual Castelli</t>
  </si>
  <si>
    <t>Reuniones comerciales y estratégicas Cooptech</t>
  </si>
  <si>
    <t>Integración Itron / Presentaciones comerciales</t>
  </si>
  <si>
    <t>Integración Iron / Tablas de eventos reconectadores / Reuniones comerciales</t>
  </si>
  <si>
    <t>Ajustes Proxmox / Bkp Procoop</t>
  </si>
  <si>
    <t>Revision Proxmox / Problemas Integra (Procoop) / networking clientes cooptech</t>
  </si>
  <si>
    <t>ILO HP / Config cliente Cloud (PASSO)</t>
  </si>
  <si>
    <t>Análisis capacidad Proxmox / cámara biodigestor / Open WRT</t>
  </si>
  <si>
    <t>Implementación Reconecta / Cámara biodigestor</t>
  </si>
  <si>
    <t>Fabricación sensores ultrasónicos cloro CSPM</t>
  </si>
  <si>
    <t>Lector de pulsos / API DNP3</t>
  </si>
  <si>
    <t>Lector de pulsos</t>
  </si>
  <si>
    <t>Lector de pulsos / Soporte clientes cooptech</t>
  </si>
  <si>
    <t>ONT Instaladas: en traslados</t>
  </si>
  <si>
    <t>ONT Instaladas: en traslados / carga manual</t>
  </si>
  <si>
    <t>ONT Instaladas: ajustes /Módulo mis facturas</t>
  </si>
  <si>
    <t>Reconecta: filtros nuevos / tabla optimizada / alarmas deadmen</t>
  </si>
  <si>
    <t>Provision: ajustes / Módulo Facturas O.V. / Reconecta: optimización eventos</t>
  </si>
  <si>
    <t>O.V. Proveedores / recupero de materiales / email</t>
  </si>
  <si>
    <t>Recupero de materiales / Instalación PADs / API WISE</t>
  </si>
  <si>
    <t>Módulo proveedores / Promo Las Tipas</t>
  </si>
  <si>
    <t>Canal 50: publicidades / Módulo proveedores / acueducto</t>
  </si>
  <si>
    <t>Acueducto / Parque solar</t>
  </si>
  <si>
    <t>MasAgua: Dashboard</t>
  </si>
  <si>
    <t>MasAgua: Variables de estado múltiple</t>
  </si>
  <si>
    <t>Módulo Loteo Puesta del Sol / Mas agua: ajustes</t>
  </si>
  <si>
    <t>Módulo Loteo Puesta del Sol / Mas agua: LLM</t>
  </si>
  <si>
    <t>Costo laboral Abril</t>
  </si>
  <si>
    <t>30/04/2025</t>
  </si>
  <si>
    <t>Semana 1 - 05 al 09</t>
  </si>
  <si>
    <t>Semana 2 - 12 al 16</t>
  </si>
  <si>
    <t>Semana 3 - 19 al 23</t>
  </si>
  <si>
    <t>Semana 4 - 26 al 30</t>
  </si>
  <si>
    <t>Mayo 2026</t>
  </si>
  <si>
    <t>Firmware Itron / Firmware Genibus</t>
  </si>
  <si>
    <t>Soporte Rio 3° / Firmware Itron</t>
  </si>
  <si>
    <t>Firmware itron / tareas varias cooptech</t>
  </si>
  <si>
    <t>Reconecta: subestaciones rurales y bitácora</t>
  </si>
  <si>
    <t>Configuraciones internas varias / Desarrollo open wrt</t>
  </si>
  <si>
    <t>MTK + reparación TV Canal 50 / tickets CSPM</t>
  </si>
  <si>
    <t>Tickets clientes cloud + CSPM</t>
  </si>
  <si>
    <t>Desarrollo lector de pulsos / soporte rio 3°</t>
  </si>
  <si>
    <t>Pruebas lector de pulsos</t>
  </si>
  <si>
    <t>Tickets varios reconecta</t>
  </si>
  <si>
    <t>Tickets varios (Coopate / ONT disponibles / caída server)</t>
  </si>
  <si>
    <t>Nuevo Coopate / Bajas ONT instaladas</t>
  </si>
  <si>
    <t>Reconecta: Bitácora / Problema carga de facturas</t>
  </si>
  <si>
    <t>Reconecta: Bitácora + Mapa / Ticket provision / Coopate</t>
  </si>
  <si>
    <t>OV Extena nueva / Modulo Proveedores / Anticipos de sueldo / Alta servicios / Sustentabilidad</t>
  </si>
  <si>
    <t>Alta servicios / Sustentabilidad / acueducto / proveedores</t>
  </si>
  <si>
    <t>Alta servicios / Proveedores / Intitucional</t>
  </si>
  <si>
    <t>Alta servicios</t>
  </si>
  <si>
    <t>LLM +agua / Cuotas loteo</t>
  </si>
  <si>
    <t>LLM +agua</t>
  </si>
  <si>
    <t>Costo laboral Mayo</t>
  </si>
  <si>
    <t>30/05/2025</t>
  </si>
  <si>
    <t>Costo activable ponderado</t>
  </si>
  <si>
    <t>Semana 1 - 02 al 06</t>
  </si>
  <si>
    <t>Semana 2 - 09 al 13</t>
  </si>
  <si>
    <t>Semana 3 - 16 al 20</t>
  </si>
  <si>
    <t>Semana 4 - 23 al 27</t>
  </si>
  <si>
    <t>Junio 2026</t>
  </si>
  <si>
    <t>Agustín Aressi</t>
  </si>
  <si>
    <t>Costo laboral Junio</t>
  </si>
  <si>
    <t>Julio 2026</t>
  </si>
  <si>
    <t>Costo laboral Julio</t>
  </si>
  <si>
    <t>31-07-2025</t>
  </si>
  <si>
    <t>Agosto 2026</t>
  </si>
  <si>
    <t>Costo laboral Agosto</t>
  </si>
  <si>
    <t>Semana 1 - 01 al 07</t>
  </si>
  <si>
    <t>Semana 2 - 08 al 14</t>
  </si>
  <si>
    <t>Semana 3 - 15 al 21</t>
  </si>
  <si>
    <t>Semana 4 - 22 al 28</t>
  </si>
  <si>
    <t>Septiembre 2026</t>
  </si>
  <si>
    <t>Costo laboral Septiembre</t>
  </si>
  <si>
    <t>30/09/2025</t>
  </si>
  <si>
    <t>Octubre 2026</t>
  </si>
  <si>
    <t>Costo laboral Octubre</t>
  </si>
  <si>
    <t>31/10/2025</t>
  </si>
  <si>
    <t>Noviembre 2026</t>
  </si>
  <si>
    <t>Costo laboral Noviembre</t>
  </si>
  <si>
    <t>30/11/2025</t>
  </si>
  <si>
    <t>Diciembre 2026</t>
  </si>
  <si>
    <t>Costo laboral Diciembre</t>
  </si>
  <si>
    <t>31/12/2025</t>
  </si>
  <si>
    <t>Activacion de Hs</t>
  </si>
  <si>
    <t>Venta Interna Energia</t>
  </si>
  <si>
    <t>Venta Interna Agua</t>
  </si>
  <si>
    <t>Venta Interna Telecomunicaciones</t>
  </si>
  <si>
    <t>Venta Interna Canal 50</t>
  </si>
  <si>
    <t>Venta Interna Administracion</t>
  </si>
  <si>
    <t>Venta Interna Serv.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</si>
</sst>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_-[$USD]\ * #,##0.00_-;\-[$USD]\ * #,##0.00_-;_-[$USD]\ * &quot;-&quot;??_-;_-@_-"/>
    <numFmt numFmtId="168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DotDot">
        <color indexed="64"/>
      </left>
      <right style="dashDotDot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/>
    </xf>
    <xf numFmtId="10" fontId="5" fillId="0" borderId="7" xfId="2" applyNumberFormat="1" applyFont="1" applyBorder="1" applyAlignment="1">
      <alignment horizontal="center"/>
    </xf>
    <xf numFmtId="9" fontId="5" fillId="0" borderId="7" xfId="2" applyFont="1" applyBorder="1" applyAlignment="1">
      <alignment horizontal="center"/>
    </xf>
    <xf numFmtId="9" fontId="5" fillId="0" borderId="8" xfId="2" applyFont="1" applyBorder="1" applyAlignment="1">
      <alignment horizontal="center"/>
    </xf>
    <xf numFmtId="9" fontId="6" fillId="4" borderId="2" xfId="2" applyFont="1" applyFill="1" applyBorder="1" applyAlignment="1">
      <alignment horizontal="center"/>
    </xf>
    <xf numFmtId="9" fontId="6" fillId="0" borderId="2" xfId="2" applyFont="1" applyBorder="1" applyAlignment="1">
      <alignment horizontal="center"/>
    </xf>
    <xf numFmtId="9" fontId="0" fillId="0" borderId="2" xfId="0" applyNumberFormat="1" applyBorder="1" applyAlignment="1">
      <alignment horizontal="center" vertical="top" wrapText="1"/>
    </xf>
    <xf numFmtId="9" fontId="0" fillId="0" borderId="2" xfId="0" applyNumberFormat="1" applyBorder="1" applyAlignment="1">
      <alignment horizontal="center"/>
    </xf>
    <xf numFmtId="10" fontId="0" fillId="0" borderId="0" xfId="0" applyNumberFormat="1"/>
    <xf numFmtId="9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66" fontId="2" fillId="0" borderId="0" xfId="0" applyNumberFormat="1" applyFont="1" applyAlignment="1">
      <alignment horizontal="center"/>
    </xf>
    <xf numFmtId="2" fontId="0" fillId="0" borderId="0" xfId="0" applyNumberFormat="1"/>
    <xf numFmtId="0" fontId="5" fillId="0" borderId="0" xfId="0" applyFont="1"/>
    <xf numFmtId="1" fontId="2" fillId="0" borderId="0" xfId="0" applyNumberFormat="1" applyFont="1" applyAlignment="1">
      <alignment horizontal="center"/>
    </xf>
    <xf numFmtId="165" fontId="0" fillId="0" borderId="0" xfId="0" applyNumberFormat="1"/>
    <xf numFmtId="10" fontId="0" fillId="0" borderId="9" xfId="0" applyNumberFormat="1" applyBorder="1"/>
    <xf numFmtId="0" fontId="0" fillId="0" borderId="9" xfId="0" applyBorder="1"/>
    <xf numFmtId="0" fontId="2" fillId="0" borderId="0" xfId="0" applyFont="1" applyAlignment="1">
      <alignment vertical="center" wrapText="1"/>
    </xf>
    <xf numFmtId="165" fontId="5" fillId="0" borderId="0" xfId="1" applyFont="1" applyFill="1" applyAlignment="1">
      <alignment horizontal="center"/>
    </xf>
    <xf numFmtId="167" fontId="5" fillId="0" borderId="0" xfId="1" applyNumberFormat="1" applyFont="1" applyFill="1" applyAlignment="1">
      <alignment horizontal="center"/>
    </xf>
    <xf numFmtId="165" fontId="5" fillId="0" borderId="0" xfId="1" applyFont="1" applyBorder="1" applyAlignment="1"/>
    <xf numFmtId="0" fontId="0" fillId="0" borderId="9" xfId="0" applyBorder="1" applyAlignment="1">
      <alignment wrapText="1"/>
    </xf>
    <xf numFmtId="0" fontId="9" fillId="0" borderId="0" xfId="0" applyFont="1"/>
    <xf numFmtId="10" fontId="5" fillId="0" borderId="7" xfId="2" applyNumberFormat="1" applyFont="1" applyFill="1" applyBorder="1" applyAlignment="1">
      <alignment horizontal="center"/>
    </xf>
    <xf numFmtId="168" fontId="5" fillId="0" borderId="7" xfId="2" applyNumberFormat="1" applyFont="1" applyBorder="1" applyAlignment="1">
      <alignment horizontal="center"/>
    </xf>
    <xf numFmtId="168" fontId="5" fillId="0" borderId="8" xfId="2" applyNumberFormat="1" applyFont="1" applyBorder="1" applyAlignment="1">
      <alignment horizontal="center"/>
    </xf>
    <xf numFmtId="10" fontId="7" fillId="0" borderId="9" xfId="0" applyNumberFormat="1" applyFont="1" applyBorder="1"/>
    <xf numFmtId="10" fontId="7" fillId="2" borderId="9" xfId="0" applyNumberFormat="1" applyFont="1" applyFill="1" applyBorder="1"/>
    <xf numFmtId="168" fontId="5" fillId="0" borderId="0" xfId="0" applyNumberFormat="1" applyFont="1" applyAlignment="1">
      <alignment horizontal="center"/>
    </xf>
    <xf numFmtId="0" fontId="0" fillId="2" borderId="9" xfId="0" applyFill="1" applyBorder="1"/>
    <xf numFmtId="10" fontId="0" fillId="2" borderId="9" xfId="0" applyNumberFormat="1" applyFill="1" applyBorder="1"/>
    <xf numFmtId="10" fontId="5" fillId="0" borderId="8" xfId="2" applyNumberFormat="1" applyFont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10" fontId="10" fillId="0" borderId="7" xfId="0" applyNumberFormat="1" applyFont="1" applyBorder="1" applyAlignment="1">
      <alignment horizontal="center"/>
    </xf>
    <xf numFmtId="9" fontId="11" fillId="8" borderId="2" xfId="0" applyNumberFormat="1" applyFont="1" applyFill="1" applyBorder="1" applyAlignment="1">
      <alignment horizontal="center"/>
    </xf>
    <xf numFmtId="9" fontId="11" fillId="0" borderId="2" xfId="0" applyNumberFormat="1" applyFont="1" applyBorder="1" applyAlignment="1">
      <alignment horizontal="center"/>
    </xf>
    <xf numFmtId="9" fontId="12" fillId="0" borderId="2" xfId="0" applyNumberFormat="1" applyFont="1" applyBorder="1" applyAlignment="1">
      <alignment horizontal="center" vertical="top" wrapText="1"/>
    </xf>
    <xf numFmtId="9" fontId="12" fillId="0" borderId="2" xfId="0" applyNumberFormat="1" applyFont="1" applyBorder="1" applyAlignment="1">
      <alignment horizontal="center"/>
    </xf>
    <xf numFmtId="0" fontId="12" fillId="0" borderId="0" xfId="0" applyFont="1"/>
    <xf numFmtId="0" fontId="12" fillId="0" borderId="9" xfId="0" applyFont="1" applyBorder="1"/>
    <xf numFmtId="0" fontId="13" fillId="0" borderId="0" xfId="0" applyFont="1" applyAlignment="1">
      <alignment horizontal="center"/>
    </xf>
    <xf numFmtId="10" fontId="13" fillId="0" borderId="0" xfId="0" applyNumberFormat="1" applyFont="1" applyAlignment="1">
      <alignment horizontal="center"/>
    </xf>
    <xf numFmtId="17" fontId="0" fillId="0" borderId="0" xfId="0" applyNumberFormat="1"/>
    <xf numFmtId="164" fontId="0" fillId="0" borderId="0" xfId="3" applyFont="1"/>
    <xf numFmtId="0" fontId="12" fillId="9" borderId="9" xfId="0" applyFont="1" applyFill="1" applyBorder="1"/>
    <xf numFmtId="0" fontId="12" fillId="0" borderId="9" xfId="0" applyFont="1" applyBorder="1" applyAlignment="1">
      <alignment wrapText="1"/>
    </xf>
    <xf numFmtId="0" fontId="12" fillId="0" borderId="6" xfId="0" applyFont="1" applyBorder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textRotation="90"/>
    </xf>
    <xf numFmtId="9" fontId="12" fillId="0" borderId="0" xfId="0" applyNumberFormat="1" applyFont="1" applyAlignment="1">
      <alignment horizontal="center"/>
    </xf>
    <xf numFmtId="9" fontId="0" fillId="0" borderId="4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168" fontId="5" fillId="7" borderId="0" xfId="0" applyNumberFormat="1" applyFont="1" applyFill="1" applyAlignment="1">
      <alignment horizontal="center"/>
    </xf>
    <xf numFmtId="165" fontId="5" fillId="7" borderId="0" xfId="1" applyFont="1" applyFill="1" applyAlignment="1">
      <alignment horizontal="center"/>
    </xf>
    <xf numFmtId="167" fontId="5" fillId="7" borderId="0" xfId="1" applyNumberFormat="1" applyFont="1" applyFill="1" applyAlignment="1">
      <alignment horizontal="center"/>
    </xf>
    <xf numFmtId="10" fontId="8" fillId="0" borderId="0" xfId="0" applyNumberFormat="1" applyFont="1" applyAlignment="1">
      <alignment horizontal="left" wrapText="1"/>
    </xf>
    <xf numFmtId="168" fontId="5" fillId="0" borderId="0" xfId="0" applyNumberFormat="1" applyFont="1" applyAlignment="1">
      <alignment horizontal="center"/>
    </xf>
    <xf numFmtId="10" fontId="5" fillId="5" borderId="0" xfId="0" applyNumberFormat="1" applyFont="1" applyFill="1" applyAlignment="1">
      <alignment horizontal="center"/>
    </xf>
    <xf numFmtId="165" fontId="5" fillId="5" borderId="0" xfId="1" applyFont="1" applyFill="1" applyAlignment="1">
      <alignment horizontal="center"/>
    </xf>
    <xf numFmtId="167" fontId="5" fillId="5" borderId="0" xfId="1" applyNumberFormat="1" applyFont="1" applyFill="1" applyAlignment="1">
      <alignment horizontal="center"/>
    </xf>
    <xf numFmtId="0" fontId="0" fillId="0" borderId="4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textRotation="90"/>
    </xf>
    <xf numFmtId="0" fontId="0" fillId="4" borderId="5" xfId="0" applyFill="1" applyBorder="1" applyAlignment="1">
      <alignment horizontal="center" textRotation="90"/>
    </xf>
    <xf numFmtId="0" fontId="5" fillId="0" borderId="0" xfId="0" applyFont="1" applyAlignment="1">
      <alignment horizontal="left"/>
    </xf>
    <xf numFmtId="168" fontId="5" fillId="6" borderId="0" xfId="0" applyNumberFormat="1" applyFont="1" applyFill="1" applyAlignment="1">
      <alignment horizontal="center"/>
    </xf>
    <xf numFmtId="165" fontId="5" fillId="6" borderId="0" xfId="1" applyFont="1" applyFill="1" applyAlignment="1">
      <alignment horizontal="center"/>
    </xf>
    <xf numFmtId="167" fontId="5" fillId="6" borderId="0" xfId="1" applyNumberFormat="1" applyFont="1" applyFill="1" applyAlignment="1">
      <alignment horizontal="center"/>
    </xf>
    <xf numFmtId="49" fontId="2" fillId="0" borderId="2" xfId="0" applyNumberFormat="1" applyFont="1" applyBorder="1" applyAlignment="1">
      <alignment horizontal="center" vertical="center" textRotation="90"/>
    </xf>
    <xf numFmtId="165" fontId="5" fillId="0" borderId="1" xfId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textRotation="90" wrapText="1"/>
    </xf>
    <xf numFmtId="0" fontId="5" fillId="0" borderId="3" xfId="0" applyFont="1" applyBorder="1" applyAlignment="1">
      <alignment horizontal="center" textRotation="90" wrapText="1"/>
    </xf>
    <xf numFmtId="0" fontId="5" fillId="3" borderId="4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textRotation="90"/>
    </xf>
    <xf numFmtId="0" fontId="0" fillId="0" borderId="13" xfId="0" applyBorder="1" applyAlignment="1">
      <alignment horizontal="center" textRotation="90"/>
    </xf>
    <xf numFmtId="0" fontId="0" fillId="0" borderId="2" xfId="0" applyBorder="1" applyAlignment="1">
      <alignment horizontal="center" textRotation="90"/>
    </xf>
    <xf numFmtId="0" fontId="5" fillId="3" borderId="5" xfId="0" applyFont="1" applyFill="1" applyBorder="1" applyAlignment="1">
      <alignment horizontal="center" vertical="center" wrapText="1"/>
    </xf>
    <xf numFmtId="165" fontId="5" fillId="0" borderId="1" xfId="1" applyFont="1" applyBorder="1" applyAlignment="1">
      <alignment horizontal="center"/>
    </xf>
    <xf numFmtId="165" fontId="5" fillId="0" borderId="10" xfId="1" applyFont="1" applyBorder="1" applyAlignment="1">
      <alignment horizontal="center"/>
    </xf>
    <xf numFmtId="165" fontId="5" fillId="0" borderId="11" xfId="1" applyFont="1" applyBorder="1" applyAlignment="1">
      <alignment horizontal="center"/>
    </xf>
    <xf numFmtId="165" fontId="5" fillId="0" borderId="6" xfId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/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BC3C-75A2-4549-804F-3D7722650E24}">
  <dimension ref="B2:AD357"/>
  <sheetViews>
    <sheetView tabSelected="1" topLeftCell="A161" workbookViewId="0">
      <pane xSplit="3" topLeftCell="D165" activePane="topRight" state="frozen"/>
      <selection pane="topRight" activeCell="D183" sqref="D183:E183"/>
    </sheetView>
  </sheetViews>
  <sheetFormatPr defaultColWidth="11.42578125" defaultRowHeight="15" customHeight="1"/>
  <cols>
    <col min="1" max="1" width="2.140625" customWidth="1"/>
    <col min="3" max="3" width="26.140625" customWidth="1"/>
    <col min="4" max="4" width="7.85546875" customWidth="1"/>
    <col min="5" max="5" width="7.5703125" customWidth="1"/>
    <col min="6" max="6" width="7.7109375" customWidth="1"/>
    <col min="7" max="20" width="8.7109375" customWidth="1"/>
    <col min="21" max="21" width="9" customWidth="1"/>
    <col min="22" max="23" width="8.7109375" customWidth="1"/>
    <col min="24" max="24" width="4.5703125" customWidth="1"/>
    <col min="25" max="29" width="40.7109375" customWidth="1"/>
  </cols>
  <sheetData>
    <row r="2" spans="2:30" ht="18.75">
      <c r="C2" s="98" t="s">
        <v>0</v>
      </c>
      <c r="D2" s="98"/>
      <c r="E2" s="98"/>
      <c r="F2" s="98"/>
      <c r="G2" s="98"/>
      <c r="H2" s="98"/>
      <c r="I2" s="98"/>
      <c r="N2" s="99">
        <v>2026</v>
      </c>
      <c r="O2" s="99"/>
    </row>
    <row r="3" spans="2:30" ht="15.75">
      <c r="C3" s="1"/>
      <c r="D3" s="1"/>
      <c r="E3" s="1"/>
      <c r="F3" s="1"/>
      <c r="G3" s="1"/>
      <c r="H3" s="1"/>
      <c r="I3" s="1"/>
      <c r="N3" s="2"/>
      <c r="O3" s="2"/>
      <c r="Y3" s="97" t="s">
        <v>1</v>
      </c>
      <c r="Z3" s="97"/>
      <c r="AA3" s="97"/>
      <c r="AB3" s="97"/>
      <c r="AC3" s="97"/>
      <c r="AD3" s="97"/>
    </row>
    <row r="4" spans="2:30">
      <c r="G4" s="72">
        <f>$E$24*H23</f>
        <v>3779248.3899055501</v>
      </c>
      <c r="H4" s="73"/>
      <c r="I4" s="72">
        <f>$E$24*J23</f>
        <v>2205742.2966720001</v>
      </c>
      <c r="J4" s="73"/>
      <c r="K4" s="72">
        <f t="shared" ref="K4" si="0">$E$24*L23</f>
        <v>2932054.4302405003</v>
      </c>
      <c r="L4" s="73"/>
      <c r="M4" s="72">
        <f t="shared" ref="M4" si="1">$E$24*N23</f>
        <v>1203584.72889585</v>
      </c>
      <c r="N4" s="73"/>
      <c r="O4" s="72">
        <f t="shared" ref="O4" si="2">$E$24*P23</f>
        <v>165813.61362135</v>
      </c>
      <c r="P4" s="73"/>
      <c r="Q4" s="72">
        <f t="shared" ref="Q4" si="3">$E$24*R23</f>
        <v>0</v>
      </c>
      <c r="R4" s="73"/>
      <c r="S4" s="72">
        <f t="shared" ref="S4" si="4">$E$24*T23</f>
        <v>0</v>
      </c>
      <c r="T4" s="73"/>
      <c r="U4" s="72">
        <f t="shared" ref="U4" si="5">$E$24*V23</f>
        <v>165813.61362135</v>
      </c>
      <c r="V4" s="73"/>
      <c r="W4" s="2"/>
      <c r="Y4" s="97"/>
      <c r="Z4" s="97"/>
      <c r="AA4" s="97"/>
      <c r="AB4" s="97"/>
      <c r="AC4" s="97"/>
      <c r="AD4" s="97"/>
    </row>
    <row r="5" spans="2:30">
      <c r="D5" s="86" t="s">
        <v>2</v>
      </c>
      <c r="E5" s="86" t="s">
        <v>3</v>
      </c>
      <c r="F5" s="87" t="s">
        <v>4</v>
      </c>
      <c r="G5" s="88" t="s">
        <v>5</v>
      </c>
      <c r="H5" s="88"/>
      <c r="I5" s="74" t="s">
        <v>6</v>
      </c>
      <c r="J5" s="74"/>
      <c r="K5" s="74" t="s">
        <v>7</v>
      </c>
      <c r="L5" s="74"/>
      <c r="M5" s="74" t="s">
        <v>8</v>
      </c>
      <c r="N5" s="74"/>
      <c r="O5" s="74" t="s">
        <v>9</v>
      </c>
      <c r="P5" s="74"/>
      <c r="Q5" s="74" t="s">
        <v>10</v>
      </c>
      <c r="R5" s="74"/>
      <c r="S5" s="75" t="s">
        <v>11</v>
      </c>
      <c r="T5" s="75"/>
      <c r="U5" s="75" t="s">
        <v>12</v>
      </c>
      <c r="V5" s="75"/>
      <c r="W5" s="55"/>
      <c r="Y5" s="97"/>
      <c r="Z5" s="97"/>
      <c r="AA5" s="97"/>
      <c r="AB5" s="97"/>
      <c r="AC5" s="97"/>
      <c r="AD5" s="97"/>
    </row>
    <row r="6" spans="2:30">
      <c r="D6" s="86"/>
      <c r="E6" s="86"/>
      <c r="F6" s="87"/>
      <c r="G6" s="76" t="s">
        <v>13</v>
      </c>
      <c r="H6" s="76" t="s">
        <v>14</v>
      </c>
      <c r="I6" s="70" t="s">
        <v>13</v>
      </c>
      <c r="J6" s="70" t="s">
        <v>14</v>
      </c>
      <c r="K6" s="76" t="s">
        <v>13</v>
      </c>
      <c r="L6" s="76" t="s">
        <v>14</v>
      </c>
      <c r="M6" s="70" t="s">
        <v>13</v>
      </c>
      <c r="N6" s="70" t="s">
        <v>14</v>
      </c>
      <c r="O6" s="76" t="s">
        <v>13</v>
      </c>
      <c r="P6" s="76" t="s">
        <v>14</v>
      </c>
      <c r="Q6" s="70" t="s">
        <v>13</v>
      </c>
      <c r="R6" s="70" t="s">
        <v>14</v>
      </c>
      <c r="S6" s="76" t="s">
        <v>13</v>
      </c>
      <c r="T6" s="76" t="s">
        <v>14</v>
      </c>
      <c r="U6" s="70" t="s">
        <v>13</v>
      </c>
      <c r="V6" s="70" t="s">
        <v>14</v>
      </c>
      <c r="W6" s="56"/>
      <c r="Y6" s="97"/>
      <c r="Z6" s="97"/>
      <c r="AA6" s="97"/>
      <c r="AB6" s="97"/>
      <c r="AC6" s="97"/>
      <c r="AD6" s="97"/>
    </row>
    <row r="7" spans="2:30" ht="60" customHeight="1">
      <c r="D7" s="86"/>
      <c r="E7" s="86"/>
      <c r="F7" s="87"/>
      <c r="G7" s="77"/>
      <c r="H7" s="77"/>
      <c r="I7" s="71"/>
      <c r="J7" s="71"/>
      <c r="K7" s="77"/>
      <c r="L7" s="77"/>
      <c r="M7" s="71"/>
      <c r="N7" s="71"/>
      <c r="O7" s="77"/>
      <c r="P7" s="77"/>
      <c r="Q7" s="71"/>
      <c r="R7" s="71"/>
      <c r="S7" s="77"/>
      <c r="T7" s="77"/>
      <c r="U7" s="71"/>
      <c r="V7" s="71"/>
      <c r="W7" s="56"/>
      <c r="Y7" s="3" t="s">
        <v>15</v>
      </c>
      <c r="Z7" s="3" t="s">
        <v>16</v>
      </c>
      <c r="AA7" s="3" t="s">
        <v>17</v>
      </c>
      <c r="AB7" s="3" t="s">
        <v>18</v>
      </c>
      <c r="AC7" s="24"/>
      <c r="AD7" s="4"/>
    </row>
    <row r="8" spans="2:30">
      <c r="B8" s="82" t="s">
        <v>19</v>
      </c>
      <c r="C8" s="5" t="s">
        <v>20</v>
      </c>
      <c r="D8" s="6">
        <v>0.1913</v>
      </c>
      <c r="E8" s="7">
        <v>0.55000000000000004</v>
      </c>
      <c r="F8" s="8">
        <v>0.105215</v>
      </c>
      <c r="G8" s="9">
        <v>0.15</v>
      </c>
      <c r="H8" s="9">
        <v>2.8694999999999998E-2</v>
      </c>
      <c r="I8" s="10">
        <v>0</v>
      </c>
      <c r="J8" s="10">
        <v>0</v>
      </c>
      <c r="K8" s="9">
        <v>0.4</v>
      </c>
      <c r="L8" s="9">
        <v>7.6520000000000005E-2</v>
      </c>
      <c r="M8" s="10">
        <v>0</v>
      </c>
      <c r="N8" s="10">
        <v>0</v>
      </c>
      <c r="O8" s="9">
        <v>0</v>
      </c>
      <c r="P8" s="9">
        <v>0</v>
      </c>
      <c r="Q8" s="11">
        <v>0</v>
      </c>
      <c r="R8" s="11">
        <v>0</v>
      </c>
      <c r="S8" s="9">
        <v>0</v>
      </c>
      <c r="T8" s="9">
        <v>0</v>
      </c>
      <c r="U8" s="12">
        <v>0</v>
      </c>
      <c r="V8" s="12">
        <v>0</v>
      </c>
      <c r="W8" s="40"/>
      <c r="Y8" s="33" t="s">
        <v>21</v>
      </c>
      <c r="Z8" s="33" t="s">
        <v>22</v>
      </c>
      <c r="AA8" s="33" t="s">
        <v>23</v>
      </c>
      <c r="AB8" s="34" t="s">
        <v>24</v>
      </c>
    </row>
    <row r="9" spans="2:30">
      <c r="B9" s="82"/>
      <c r="C9" s="5" t="s">
        <v>25</v>
      </c>
      <c r="D9" s="6">
        <v>0.12989999999999999</v>
      </c>
      <c r="E9" s="7">
        <v>0.5</v>
      </c>
      <c r="F9" s="8">
        <v>6.4949999999999994E-2</v>
      </c>
      <c r="G9" s="9">
        <v>0.2</v>
      </c>
      <c r="H9" s="9">
        <v>2.598E-2</v>
      </c>
      <c r="I9" s="10">
        <v>0</v>
      </c>
      <c r="J9" s="10">
        <v>0</v>
      </c>
      <c r="K9" s="9">
        <v>0</v>
      </c>
      <c r="L9" s="9">
        <v>0</v>
      </c>
      <c r="M9" s="10">
        <v>0.2</v>
      </c>
      <c r="N9" s="10">
        <v>2.598E-2</v>
      </c>
      <c r="O9" s="9">
        <v>0.05</v>
      </c>
      <c r="P9" s="9">
        <v>6.4949999999999999E-3</v>
      </c>
      <c r="Q9" s="11">
        <v>0</v>
      </c>
      <c r="R9" s="11">
        <v>0</v>
      </c>
      <c r="S9" s="9">
        <v>0</v>
      </c>
      <c r="T9" s="9">
        <v>0</v>
      </c>
      <c r="U9" s="12">
        <v>0.05</v>
      </c>
      <c r="V9" s="12">
        <v>6.4949999999999999E-3</v>
      </c>
      <c r="W9" s="40"/>
      <c r="Y9" s="33" t="s">
        <v>26</v>
      </c>
      <c r="Z9" s="33" t="s">
        <v>27</v>
      </c>
      <c r="AA9" s="33" t="s">
        <v>28</v>
      </c>
      <c r="AB9" s="33" t="s">
        <v>29</v>
      </c>
    </row>
    <row r="10" spans="2:30">
      <c r="B10" s="82"/>
      <c r="C10" s="5" t="s">
        <v>30</v>
      </c>
      <c r="D10" s="6">
        <v>0.1231</v>
      </c>
      <c r="E10" s="7">
        <v>0</v>
      </c>
      <c r="F10" s="8">
        <v>0</v>
      </c>
      <c r="G10" s="9">
        <v>0</v>
      </c>
      <c r="H10" s="9">
        <v>0</v>
      </c>
      <c r="I10" s="10">
        <v>0</v>
      </c>
      <c r="J10" s="10">
        <v>0</v>
      </c>
      <c r="K10" s="9">
        <v>0</v>
      </c>
      <c r="L10" s="9">
        <v>0</v>
      </c>
      <c r="M10" s="10">
        <v>0</v>
      </c>
      <c r="N10" s="10">
        <v>0</v>
      </c>
      <c r="O10" s="9">
        <v>0</v>
      </c>
      <c r="P10" s="9">
        <v>0</v>
      </c>
      <c r="Q10" s="11">
        <v>0</v>
      </c>
      <c r="R10" s="11">
        <v>0</v>
      </c>
      <c r="S10" s="9">
        <v>0</v>
      </c>
      <c r="T10" s="9">
        <v>0</v>
      </c>
      <c r="U10" s="12">
        <v>0</v>
      </c>
      <c r="V10" s="12">
        <v>0</v>
      </c>
      <c r="W10" s="40"/>
      <c r="Y10" s="34" t="s">
        <v>24</v>
      </c>
      <c r="Z10" s="34" t="s">
        <v>24</v>
      </c>
      <c r="AA10" s="34" t="s">
        <v>24</v>
      </c>
      <c r="AB10" s="23" t="s">
        <v>31</v>
      </c>
    </row>
    <row r="11" spans="2:30">
      <c r="B11" s="82"/>
      <c r="C11" s="5" t="s">
        <v>32</v>
      </c>
      <c r="D11" s="6">
        <v>0.1328</v>
      </c>
      <c r="E11" s="7">
        <v>0.4</v>
      </c>
      <c r="F11" s="8">
        <v>5.3120000000000001E-2</v>
      </c>
      <c r="G11" s="9">
        <v>0</v>
      </c>
      <c r="H11" s="9">
        <v>0</v>
      </c>
      <c r="I11" s="10">
        <v>0.3</v>
      </c>
      <c r="J11" s="10">
        <v>3.984E-2</v>
      </c>
      <c r="K11" s="9">
        <v>0.1</v>
      </c>
      <c r="L11" s="9">
        <v>1.328E-2</v>
      </c>
      <c r="M11" s="10">
        <v>0</v>
      </c>
      <c r="N11" s="10">
        <v>0</v>
      </c>
      <c r="O11" s="9">
        <v>0</v>
      </c>
      <c r="P11" s="9">
        <v>0</v>
      </c>
      <c r="Q11" s="11">
        <v>0</v>
      </c>
      <c r="R11" s="11">
        <v>0</v>
      </c>
      <c r="S11" s="9">
        <v>0</v>
      </c>
      <c r="T11" s="9">
        <v>0</v>
      </c>
      <c r="U11" s="12">
        <v>0</v>
      </c>
      <c r="V11" s="12">
        <v>0</v>
      </c>
      <c r="W11" s="40"/>
      <c r="Y11" s="22" t="s">
        <v>33</v>
      </c>
      <c r="Z11" s="22" t="s">
        <v>34</v>
      </c>
      <c r="AA11" s="23" t="s">
        <v>35</v>
      </c>
      <c r="AB11" s="23" t="s">
        <v>36</v>
      </c>
    </row>
    <row r="12" spans="2:30">
      <c r="B12" s="82"/>
      <c r="C12" s="29" t="s">
        <v>37</v>
      </c>
      <c r="D12" s="6">
        <v>0.1411</v>
      </c>
      <c r="E12" s="7">
        <v>0.25</v>
      </c>
      <c r="F12" s="8">
        <v>3.5275000000000001E-2</v>
      </c>
      <c r="G12" s="9">
        <v>0</v>
      </c>
      <c r="H12" s="9">
        <v>0</v>
      </c>
      <c r="I12" s="10">
        <v>0.1</v>
      </c>
      <c r="J12" s="10">
        <v>1.4110000000000001E-2</v>
      </c>
      <c r="K12" s="9">
        <v>0</v>
      </c>
      <c r="L12" s="9">
        <v>0</v>
      </c>
      <c r="M12" s="10">
        <v>0.15</v>
      </c>
      <c r="N12" s="10">
        <v>2.1165E-2</v>
      </c>
      <c r="O12" s="9">
        <v>0</v>
      </c>
      <c r="P12" s="9">
        <v>0</v>
      </c>
      <c r="Q12" s="11">
        <v>0</v>
      </c>
      <c r="R12" s="11">
        <v>0</v>
      </c>
      <c r="S12" s="9">
        <v>0</v>
      </c>
      <c r="T12" s="9">
        <v>0</v>
      </c>
      <c r="U12" s="12">
        <v>0</v>
      </c>
      <c r="V12" s="12">
        <v>0</v>
      </c>
      <c r="W12" s="40"/>
      <c r="Y12" s="34" t="s">
        <v>24</v>
      </c>
      <c r="Z12" s="22" t="s">
        <v>38</v>
      </c>
      <c r="AA12" s="22" t="s">
        <v>39</v>
      </c>
      <c r="AB12" s="22" t="s">
        <v>40</v>
      </c>
    </row>
    <row r="13" spans="2:30">
      <c r="B13" s="82"/>
      <c r="C13" s="5" t="s">
        <v>41</v>
      </c>
      <c r="D13" s="6">
        <v>0.1167</v>
      </c>
      <c r="E13" s="7">
        <v>0.8</v>
      </c>
      <c r="F13" s="8">
        <v>9.3359999999999999E-2</v>
      </c>
      <c r="G13" s="9">
        <v>0.8</v>
      </c>
      <c r="H13" s="9">
        <v>9.3359999999999999E-2</v>
      </c>
      <c r="I13" s="10">
        <v>0</v>
      </c>
      <c r="J13" s="10">
        <v>0</v>
      </c>
      <c r="K13" s="9">
        <v>0</v>
      </c>
      <c r="L13" s="9">
        <v>0</v>
      </c>
      <c r="M13" s="10">
        <v>0</v>
      </c>
      <c r="N13" s="10">
        <v>0</v>
      </c>
      <c r="O13" s="9">
        <v>0</v>
      </c>
      <c r="P13" s="9">
        <v>0</v>
      </c>
      <c r="Q13" s="12">
        <v>0</v>
      </c>
      <c r="R13" s="11">
        <v>0</v>
      </c>
      <c r="S13" s="9">
        <v>0</v>
      </c>
      <c r="T13" s="9">
        <v>0</v>
      </c>
      <c r="U13" s="12">
        <v>0</v>
      </c>
      <c r="V13" s="12">
        <v>0</v>
      </c>
      <c r="W13" s="40"/>
      <c r="Y13" s="22" t="s">
        <v>42</v>
      </c>
      <c r="Z13" s="22" t="s">
        <v>43</v>
      </c>
      <c r="AA13" s="23" t="s">
        <v>44</v>
      </c>
      <c r="AB13" s="23" t="s">
        <v>45</v>
      </c>
    </row>
    <row r="14" spans="2:30">
      <c r="B14" s="82"/>
      <c r="C14" s="5" t="s">
        <v>46</v>
      </c>
      <c r="D14" s="6">
        <v>0.1002</v>
      </c>
      <c r="E14" s="7">
        <v>0.25</v>
      </c>
      <c r="F14" s="8">
        <v>2.5049999999999999E-2</v>
      </c>
      <c r="G14" s="9">
        <v>0</v>
      </c>
      <c r="H14" s="9">
        <v>0</v>
      </c>
      <c r="I14" s="10">
        <v>0</v>
      </c>
      <c r="J14" s="10">
        <v>0</v>
      </c>
      <c r="K14" s="9">
        <v>0.25</v>
      </c>
      <c r="L14" s="9">
        <v>2.5049999999999999E-2</v>
      </c>
      <c r="M14" s="10">
        <v>0</v>
      </c>
      <c r="N14" s="10">
        <v>0</v>
      </c>
      <c r="O14" s="9">
        <v>0</v>
      </c>
      <c r="P14" s="9">
        <v>0</v>
      </c>
      <c r="Q14" s="12">
        <v>0</v>
      </c>
      <c r="R14" s="11">
        <v>0</v>
      </c>
      <c r="S14" s="9">
        <v>0</v>
      </c>
      <c r="T14" s="9">
        <v>0</v>
      </c>
      <c r="U14" s="12">
        <v>0</v>
      </c>
      <c r="V14" s="12">
        <v>0</v>
      </c>
      <c r="W14" s="40"/>
      <c r="Y14" s="22" t="s">
        <v>47</v>
      </c>
      <c r="Z14" s="22" t="s">
        <v>48</v>
      </c>
      <c r="AA14" s="22" t="s">
        <v>49</v>
      </c>
      <c r="AB14" s="22" t="s">
        <v>50</v>
      </c>
    </row>
    <row r="15" spans="2:30">
      <c r="B15" s="82"/>
      <c r="C15" s="5" t="s">
        <v>51</v>
      </c>
      <c r="D15" s="6">
        <v>6.4899999999999999E-2</v>
      </c>
      <c r="E15" s="7">
        <v>0.5</v>
      </c>
      <c r="F15" s="8">
        <v>3.245E-2</v>
      </c>
      <c r="G15" s="9">
        <v>0</v>
      </c>
      <c r="H15" s="9">
        <v>0</v>
      </c>
      <c r="I15" s="10">
        <v>0.5</v>
      </c>
      <c r="J15" s="10">
        <v>3.245E-2</v>
      </c>
      <c r="K15" s="9">
        <v>0</v>
      </c>
      <c r="L15" s="9">
        <v>0</v>
      </c>
      <c r="M15" s="10">
        <v>0</v>
      </c>
      <c r="N15" s="10">
        <v>0</v>
      </c>
      <c r="O15" s="9">
        <v>0</v>
      </c>
      <c r="P15" s="9">
        <v>0</v>
      </c>
      <c r="Q15" s="12">
        <v>0</v>
      </c>
      <c r="R15" s="11">
        <v>0</v>
      </c>
      <c r="S15" s="9">
        <v>0</v>
      </c>
      <c r="T15" s="9">
        <v>0</v>
      </c>
      <c r="U15" s="12">
        <v>0</v>
      </c>
      <c r="V15" s="12">
        <v>0</v>
      </c>
      <c r="W15" s="40"/>
      <c r="Y15" s="22" t="s">
        <v>52</v>
      </c>
      <c r="Z15" s="22" t="s">
        <v>53</v>
      </c>
      <c r="AA15" s="23" t="s">
        <v>54</v>
      </c>
      <c r="AB15" s="22" t="s">
        <v>53</v>
      </c>
    </row>
    <row r="16" spans="2:30">
      <c r="B16" s="82"/>
      <c r="C16" s="5" t="s">
        <v>55</v>
      </c>
      <c r="D16" s="6">
        <v>0</v>
      </c>
      <c r="E16" s="7">
        <v>0</v>
      </c>
      <c r="F16" s="8">
        <v>0</v>
      </c>
      <c r="G16" s="9">
        <v>0</v>
      </c>
      <c r="H16" s="9">
        <v>0</v>
      </c>
      <c r="I16" s="10">
        <v>0</v>
      </c>
      <c r="J16" s="10">
        <v>0</v>
      </c>
      <c r="K16" s="9">
        <v>0</v>
      </c>
      <c r="L16" s="9">
        <v>0</v>
      </c>
      <c r="M16" s="10">
        <v>0</v>
      </c>
      <c r="N16" s="10">
        <v>0</v>
      </c>
      <c r="O16" s="9">
        <v>0</v>
      </c>
      <c r="P16" s="9">
        <v>0</v>
      </c>
      <c r="Q16" s="12">
        <v>0</v>
      </c>
      <c r="R16" s="11">
        <v>0</v>
      </c>
      <c r="S16" s="9">
        <v>0</v>
      </c>
      <c r="T16" s="9">
        <v>0</v>
      </c>
      <c r="U16" s="12">
        <v>0</v>
      </c>
      <c r="V16" s="12">
        <v>0</v>
      </c>
      <c r="W16" s="40"/>
      <c r="Y16" s="22"/>
      <c r="Z16" s="22"/>
      <c r="AA16" s="23"/>
      <c r="AB16" s="23"/>
    </row>
    <row r="17" spans="2:28">
      <c r="B17" s="82"/>
      <c r="C17" s="5" t="s">
        <v>55</v>
      </c>
      <c r="D17" s="6">
        <v>0</v>
      </c>
      <c r="E17" s="7">
        <v>0</v>
      </c>
      <c r="F17" s="8">
        <v>0</v>
      </c>
      <c r="G17" s="9">
        <v>0</v>
      </c>
      <c r="H17" s="9">
        <v>0</v>
      </c>
      <c r="I17" s="10">
        <v>0</v>
      </c>
      <c r="J17" s="10">
        <v>0</v>
      </c>
      <c r="K17" s="9">
        <v>0</v>
      </c>
      <c r="L17" s="9">
        <v>0</v>
      </c>
      <c r="M17" s="10">
        <v>0</v>
      </c>
      <c r="N17" s="10">
        <v>0</v>
      </c>
      <c r="O17" s="9">
        <v>0</v>
      </c>
      <c r="P17" s="9">
        <v>0</v>
      </c>
      <c r="Q17" s="12">
        <v>0</v>
      </c>
      <c r="R17" s="11">
        <v>0</v>
      </c>
      <c r="S17" s="9">
        <v>0</v>
      </c>
      <c r="T17" s="9">
        <v>0</v>
      </c>
      <c r="U17" s="12">
        <v>0</v>
      </c>
      <c r="V17" s="12">
        <v>0</v>
      </c>
      <c r="W17" s="40"/>
      <c r="Y17" s="22"/>
      <c r="Z17" s="23"/>
      <c r="AA17" s="23"/>
      <c r="AB17" s="23"/>
    </row>
    <row r="18" spans="2:28">
      <c r="B18" s="82"/>
      <c r="C18" s="5" t="s">
        <v>55</v>
      </c>
      <c r="D18" s="6">
        <v>0</v>
      </c>
      <c r="E18" s="7">
        <v>0</v>
      </c>
      <c r="F18" s="8">
        <v>0</v>
      </c>
      <c r="G18" s="9">
        <v>0</v>
      </c>
      <c r="H18" s="9">
        <v>0</v>
      </c>
      <c r="I18" s="10">
        <v>0</v>
      </c>
      <c r="J18" s="10">
        <v>0</v>
      </c>
      <c r="K18" s="9">
        <v>0</v>
      </c>
      <c r="L18" s="9">
        <v>0</v>
      </c>
      <c r="M18" s="10">
        <v>0</v>
      </c>
      <c r="N18" s="10">
        <v>0</v>
      </c>
      <c r="O18" s="9">
        <v>0</v>
      </c>
      <c r="P18" s="9">
        <v>0</v>
      </c>
      <c r="Q18" s="12">
        <v>0</v>
      </c>
      <c r="R18" s="11">
        <v>0</v>
      </c>
      <c r="S18" s="9">
        <v>0</v>
      </c>
      <c r="T18" s="9">
        <v>0</v>
      </c>
      <c r="U18" s="12">
        <v>0</v>
      </c>
      <c r="V18" s="12">
        <v>0</v>
      </c>
      <c r="W18" s="40"/>
      <c r="Y18" s="22"/>
      <c r="Z18" s="22"/>
      <c r="AA18" s="23"/>
      <c r="AB18" s="23"/>
    </row>
    <row r="19" spans="2:28">
      <c r="B19" s="82"/>
      <c r="C19" s="5" t="s">
        <v>55</v>
      </c>
      <c r="D19" s="6">
        <v>0</v>
      </c>
      <c r="E19" s="7">
        <v>0</v>
      </c>
      <c r="F19" s="8">
        <v>0</v>
      </c>
      <c r="G19" s="9">
        <v>0</v>
      </c>
      <c r="H19" s="9">
        <v>0</v>
      </c>
      <c r="I19" s="10">
        <v>0</v>
      </c>
      <c r="J19" s="10">
        <v>0</v>
      </c>
      <c r="K19" s="9">
        <v>0</v>
      </c>
      <c r="L19" s="9">
        <v>0</v>
      </c>
      <c r="M19" s="10">
        <v>0</v>
      </c>
      <c r="N19" s="10">
        <v>0</v>
      </c>
      <c r="O19" s="9">
        <v>0</v>
      </c>
      <c r="P19" s="9">
        <v>0</v>
      </c>
      <c r="Q19" s="12">
        <v>0</v>
      </c>
      <c r="R19" s="11">
        <v>0</v>
      </c>
      <c r="S19" s="9">
        <v>0</v>
      </c>
      <c r="T19" s="9">
        <v>0</v>
      </c>
      <c r="U19" s="12">
        <v>0</v>
      </c>
      <c r="V19" s="12">
        <v>0</v>
      </c>
      <c r="W19" s="40"/>
      <c r="Y19" s="22"/>
      <c r="Z19" s="23"/>
      <c r="AA19" s="23"/>
      <c r="AB19" s="23"/>
    </row>
    <row r="20" spans="2:28">
      <c r="B20" s="82"/>
      <c r="C20" s="5" t="s">
        <v>55</v>
      </c>
      <c r="D20" s="6">
        <v>0</v>
      </c>
      <c r="E20" s="7">
        <v>0</v>
      </c>
      <c r="F20" s="8">
        <v>0</v>
      </c>
      <c r="G20" s="9">
        <v>0</v>
      </c>
      <c r="H20" s="9">
        <v>0</v>
      </c>
      <c r="I20" s="10">
        <v>0</v>
      </c>
      <c r="J20" s="10">
        <v>0</v>
      </c>
      <c r="K20" s="9">
        <v>0</v>
      </c>
      <c r="L20" s="9">
        <v>0</v>
      </c>
      <c r="M20" s="10">
        <v>0</v>
      </c>
      <c r="N20" s="10">
        <v>0</v>
      </c>
      <c r="O20" s="9">
        <v>0</v>
      </c>
      <c r="P20" s="9">
        <v>0</v>
      </c>
      <c r="Q20" s="12">
        <v>0</v>
      </c>
      <c r="R20" s="11">
        <v>0</v>
      </c>
      <c r="S20" s="9">
        <v>0</v>
      </c>
      <c r="T20" s="9">
        <v>0</v>
      </c>
      <c r="U20" s="12">
        <v>0</v>
      </c>
      <c r="V20" s="12">
        <v>0</v>
      </c>
      <c r="W20" s="40"/>
      <c r="Y20" s="22"/>
      <c r="Z20" s="23"/>
      <c r="AA20" s="23"/>
      <c r="AB20" s="23"/>
    </row>
    <row r="21" spans="2:28">
      <c r="B21" s="82"/>
      <c r="C21" s="5" t="s">
        <v>55</v>
      </c>
      <c r="D21" s="6">
        <v>0</v>
      </c>
      <c r="E21" s="7">
        <v>0</v>
      </c>
      <c r="F21" s="8">
        <v>0</v>
      </c>
      <c r="G21" s="9">
        <v>0</v>
      </c>
      <c r="H21" s="9">
        <v>0</v>
      </c>
      <c r="I21" s="10">
        <v>0</v>
      </c>
      <c r="J21" s="10">
        <v>0</v>
      </c>
      <c r="K21" s="9">
        <v>0</v>
      </c>
      <c r="L21" s="9">
        <v>0</v>
      </c>
      <c r="M21" s="10">
        <v>0</v>
      </c>
      <c r="N21" s="10">
        <v>0</v>
      </c>
      <c r="O21" s="9">
        <v>0</v>
      </c>
      <c r="P21" s="9">
        <v>0</v>
      </c>
      <c r="Q21" s="12">
        <v>0</v>
      </c>
      <c r="R21" s="11">
        <v>0</v>
      </c>
      <c r="S21" s="9">
        <v>0</v>
      </c>
      <c r="T21" s="9">
        <v>0</v>
      </c>
      <c r="U21" s="12">
        <v>0</v>
      </c>
      <c r="V21" s="12">
        <v>0</v>
      </c>
      <c r="W21" s="40"/>
      <c r="Y21" s="22"/>
      <c r="Z21" s="23"/>
      <c r="AA21" s="23"/>
      <c r="AB21" s="23"/>
    </row>
    <row r="22" spans="2:28">
      <c r="B22" s="82"/>
      <c r="C22" s="5" t="s">
        <v>55</v>
      </c>
      <c r="D22" s="6">
        <v>0</v>
      </c>
      <c r="E22" s="7">
        <v>0</v>
      </c>
      <c r="F22" s="8">
        <v>0</v>
      </c>
      <c r="G22" s="9">
        <v>0</v>
      </c>
      <c r="H22" s="9">
        <v>0</v>
      </c>
      <c r="I22" s="10">
        <v>0</v>
      </c>
      <c r="J22" s="10">
        <v>0</v>
      </c>
      <c r="K22" s="9">
        <v>0</v>
      </c>
      <c r="L22" s="9">
        <v>0</v>
      </c>
      <c r="M22" s="10">
        <v>0</v>
      </c>
      <c r="N22" s="10">
        <v>0</v>
      </c>
      <c r="O22" s="9">
        <v>0</v>
      </c>
      <c r="P22" s="9">
        <v>0</v>
      </c>
      <c r="Q22" s="12">
        <v>0</v>
      </c>
      <c r="R22" s="11">
        <v>0</v>
      </c>
      <c r="S22" s="9">
        <v>0</v>
      </c>
      <c r="T22" s="9">
        <v>0</v>
      </c>
      <c r="U22" s="12">
        <v>0</v>
      </c>
      <c r="V22" s="12">
        <v>0</v>
      </c>
      <c r="W22" s="40"/>
      <c r="Y22" s="22"/>
      <c r="Z22" s="23"/>
      <c r="AA22" s="23"/>
      <c r="AB22" s="23"/>
    </row>
    <row r="23" spans="2:28">
      <c r="D23" s="13"/>
      <c r="E23" s="39">
        <f>SUM(E8:E22)</f>
        <v>3.25</v>
      </c>
      <c r="G23" s="14"/>
      <c r="H23" s="15">
        <f>SUM(H8:H22)</f>
        <v>0.148035</v>
      </c>
      <c r="I23" s="15"/>
      <c r="J23" s="15">
        <f>SUM(J8:J22)</f>
        <v>8.6400000000000005E-2</v>
      </c>
      <c r="K23" s="15"/>
      <c r="L23" s="15">
        <f>SUM(L8:L22)</f>
        <v>0.11485000000000001</v>
      </c>
      <c r="M23" s="15"/>
      <c r="N23" s="15">
        <f>SUM(N8:N22)</f>
        <v>4.7144999999999999E-2</v>
      </c>
      <c r="O23" s="15"/>
      <c r="P23" s="15">
        <f>SUM(P8:P22)</f>
        <v>6.4949999999999999E-3</v>
      </c>
      <c r="Q23" s="15"/>
      <c r="R23" s="15">
        <f>SUM(R8:R22)</f>
        <v>0</v>
      </c>
      <c r="S23" s="15"/>
      <c r="T23" s="15">
        <f>SUM(T8:T22)</f>
        <v>0</v>
      </c>
      <c r="U23" s="15"/>
      <c r="V23" s="15">
        <f>SUM(V8:V22)</f>
        <v>6.4949999999999999E-3</v>
      </c>
      <c r="W23" s="15"/>
      <c r="Y23" s="13"/>
    </row>
    <row r="24" spans="2:28">
      <c r="B24" s="78" t="s">
        <v>56</v>
      </c>
      <c r="C24" s="78"/>
      <c r="D24" s="78"/>
      <c r="E24" s="93">
        <v>25529424.73</v>
      </c>
      <c r="F24" s="93"/>
      <c r="G24" s="9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Y24" s="13"/>
    </row>
    <row r="25" spans="2:28">
      <c r="B25" s="16"/>
      <c r="C25" s="16"/>
      <c r="D25" s="16"/>
      <c r="G25" s="14"/>
      <c r="H25" s="14"/>
      <c r="I25" s="14"/>
      <c r="J25" s="14"/>
      <c r="K25" s="84" t="s">
        <v>57</v>
      </c>
      <c r="L25" s="84"/>
      <c r="M25" s="84"/>
      <c r="N25" s="17">
        <v>1465</v>
      </c>
      <c r="O25" s="85">
        <v>46053</v>
      </c>
      <c r="P25" s="85"/>
      <c r="Q25" s="14"/>
      <c r="R25" s="14"/>
      <c r="S25" s="14"/>
      <c r="T25" s="14"/>
      <c r="U25" s="14"/>
      <c r="V25" s="14"/>
      <c r="W25" s="14"/>
      <c r="Y25" s="18"/>
    </row>
    <row r="26" spans="2:28">
      <c r="B26" s="19" t="s">
        <v>58</v>
      </c>
      <c r="C26" s="19"/>
      <c r="F26" s="67">
        <f>SUM(E8:E22)/8</f>
        <v>0.40625</v>
      </c>
      <c r="G26" s="67"/>
      <c r="H26" s="20"/>
      <c r="I26" s="20"/>
      <c r="S26" s="27"/>
      <c r="T26" s="27"/>
      <c r="U26" s="27"/>
      <c r="Y26" s="21"/>
    </row>
    <row r="27" spans="2:28">
      <c r="B27" s="19" t="s">
        <v>59</v>
      </c>
      <c r="F27" s="67">
        <f>SUM(F8:F22)</f>
        <v>0.40942000000000001</v>
      </c>
      <c r="G27" s="67"/>
      <c r="I27" s="68">
        <f>E24*F27</f>
        <v>10452257.072956601</v>
      </c>
      <c r="J27" s="68"/>
      <c r="K27" s="68"/>
      <c r="M27" s="69">
        <f>I27/N25</f>
        <v>7134.64646618198</v>
      </c>
      <c r="N27" s="69"/>
      <c r="O27" s="69"/>
    </row>
    <row r="28" spans="2:28">
      <c r="S28" s="21"/>
      <c r="T28" s="21"/>
      <c r="U28" s="21"/>
    </row>
    <row r="29" spans="2:28">
      <c r="B29" s="78" t="s">
        <v>60</v>
      </c>
      <c r="C29" s="78"/>
      <c r="D29" s="78"/>
      <c r="F29" s="79">
        <f>1-F26</f>
        <v>0.59375</v>
      </c>
      <c r="G29" s="79"/>
    </row>
    <row r="30" spans="2:28">
      <c r="B30" s="78" t="s">
        <v>61</v>
      </c>
      <c r="C30" s="78"/>
      <c r="D30" s="78"/>
      <c r="F30" s="79">
        <f>1-F27</f>
        <v>0.59057999999999999</v>
      </c>
      <c r="G30" s="79"/>
      <c r="I30" s="80">
        <f>E24*F30</f>
        <v>15077167.657043399</v>
      </c>
      <c r="J30" s="80"/>
      <c r="K30" s="80"/>
      <c r="M30" s="81">
        <f>I30/N25</f>
        <v>10291.582018459658</v>
      </c>
      <c r="N30" s="81"/>
      <c r="O30" s="81"/>
    </row>
    <row r="31" spans="2:28">
      <c r="B31" s="16"/>
      <c r="C31" s="16"/>
      <c r="D31" s="16"/>
      <c r="F31" s="35"/>
      <c r="G31" s="35"/>
      <c r="I31" s="25"/>
      <c r="J31" s="25"/>
      <c r="K31" s="25"/>
      <c r="M31" s="26"/>
      <c r="N31" s="26"/>
      <c r="O31" s="26"/>
    </row>
    <row r="32" spans="2:28" ht="14.45" customHeight="1">
      <c r="B32" s="16" t="s">
        <v>62</v>
      </c>
      <c r="C32" s="16"/>
      <c r="D32" s="16"/>
      <c r="F32" s="62">
        <f>(8-(E23-E8-E11))/8</f>
        <v>0.71249999999999991</v>
      </c>
      <c r="G32" s="62"/>
      <c r="I32" s="63">
        <f>I30*F32</f>
        <v>10742481.955643421</v>
      </c>
      <c r="J32" s="63"/>
      <c r="K32" s="63"/>
      <c r="M32" s="64">
        <f>M30*F32</f>
        <v>7332.7521881525054</v>
      </c>
      <c r="N32" s="64"/>
      <c r="O32" s="64"/>
      <c r="P32" s="65" t="s">
        <v>63</v>
      </c>
      <c r="Q32" s="65"/>
      <c r="R32" s="65"/>
      <c r="S32" s="65"/>
      <c r="T32" s="65"/>
    </row>
    <row r="33" spans="2:30">
      <c r="B33" s="16" t="s">
        <v>64</v>
      </c>
      <c r="F33" s="66"/>
      <c r="G33" s="66"/>
      <c r="I33" s="63">
        <f>I30-I32</f>
        <v>4334685.7013999783</v>
      </c>
      <c r="J33" s="63"/>
      <c r="K33" s="63"/>
      <c r="M33" s="64">
        <f>M30-M32</f>
        <v>2958.8298303071524</v>
      </c>
      <c r="N33" s="64"/>
      <c r="O33" s="64"/>
      <c r="P33" s="65"/>
      <c r="Q33" s="65"/>
      <c r="R33" s="65"/>
      <c r="S33" s="65"/>
      <c r="T33" s="65"/>
    </row>
    <row r="34" spans="2:30" ht="15.75">
      <c r="C34" s="1"/>
      <c r="D34" s="1"/>
      <c r="E34" s="1"/>
      <c r="F34" s="1"/>
      <c r="G34" s="1"/>
      <c r="H34" s="1"/>
      <c r="I34" s="1"/>
      <c r="N34" s="2"/>
      <c r="O34" s="2"/>
      <c r="Y34" s="97" t="s">
        <v>1</v>
      </c>
      <c r="Z34" s="97"/>
      <c r="AA34" s="97"/>
      <c r="AB34" s="97"/>
      <c r="AC34" s="97"/>
      <c r="AD34" s="97"/>
    </row>
    <row r="35" spans="2:30">
      <c r="G35" s="72">
        <f>$E$54*H53</f>
        <v>3992455.0896934001</v>
      </c>
      <c r="H35" s="73"/>
      <c r="I35" s="72">
        <f t="shared" ref="I35" si="6">$E$54*J53</f>
        <v>2390239.1577680004</v>
      </c>
      <c r="J35" s="73"/>
      <c r="K35" s="72">
        <f t="shared" ref="K35" si="7">$E$54*L53</f>
        <v>850018.3047004001</v>
      </c>
      <c r="L35" s="73"/>
      <c r="M35" s="72">
        <f t="shared" ref="M35" si="8">$E$54*N53</f>
        <v>2438939.5808887999</v>
      </c>
      <c r="N35" s="73"/>
      <c r="O35" s="72">
        <f t="shared" ref="O35" si="9">$E$54*P53</f>
        <v>0</v>
      </c>
      <c r="P35" s="73"/>
      <c r="Q35" s="72">
        <f t="shared" ref="Q35" si="10">$E$54*R53</f>
        <v>0</v>
      </c>
      <c r="R35" s="73"/>
      <c r="S35" s="72">
        <f t="shared" ref="S35" si="11">$E$54*T53</f>
        <v>164853.73113880001</v>
      </c>
      <c r="T35" s="73"/>
      <c r="U35" s="72">
        <f t="shared" ref="U35" si="12">$E$54*V53</f>
        <v>0</v>
      </c>
      <c r="V35" s="73"/>
      <c r="W35" s="2"/>
      <c r="Y35" s="97"/>
      <c r="Z35" s="97"/>
      <c r="AA35" s="97"/>
      <c r="AB35" s="97"/>
      <c r="AC35" s="97"/>
      <c r="AD35" s="97"/>
    </row>
    <row r="36" spans="2:30">
      <c r="D36" s="86" t="s">
        <v>2</v>
      </c>
      <c r="E36" s="86" t="s">
        <v>3</v>
      </c>
      <c r="F36" s="87" t="s">
        <v>4</v>
      </c>
      <c r="G36" s="88" t="s">
        <v>5</v>
      </c>
      <c r="H36" s="88"/>
      <c r="I36" s="74" t="s">
        <v>6</v>
      </c>
      <c r="J36" s="74"/>
      <c r="K36" s="74" t="s">
        <v>7</v>
      </c>
      <c r="L36" s="74"/>
      <c r="M36" s="74" t="s">
        <v>8</v>
      </c>
      <c r="N36" s="74"/>
      <c r="O36" s="74" t="s">
        <v>9</v>
      </c>
      <c r="P36" s="74"/>
      <c r="Q36" s="74" t="s">
        <v>10</v>
      </c>
      <c r="R36" s="74"/>
      <c r="S36" s="75" t="s">
        <v>11</v>
      </c>
      <c r="T36" s="75"/>
      <c r="U36" s="75" t="s">
        <v>12</v>
      </c>
      <c r="V36" s="75"/>
      <c r="W36" s="55"/>
      <c r="Y36" s="97"/>
      <c r="Z36" s="97"/>
      <c r="AA36" s="97"/>
      <c r="AB36" s="97"/>
      <c r="AC36" s="97"/>
      <c r="AD36" s="97"/>
    </row>
    <row r="37" spans="2:30">
      <c r="D37" s="86"/>
      <c r="E37" s="86"/>
      <c r="F37" s="87"/>
      <c r="G37" s="76" t="s">
        <v>13</v>
      </c>
      <c r="H37" s="76" t="s">
        <v>14</v>
      </c>
      <c r="I37" s="70" t="s">
        <v>13</v>
      </c>
      <c r="J37" s="70" t="s">
        <v>14</v>
      </c>
      <c r="K37" s="76" t="s">
        <v>13</v>
      </c>
      <c r="L37" s="76" t="s">
        <v>14</v>
      </c>
      <c r="M37" s="70" t="s">
        <v>13</v>
      </c>
      <c r="N37" s="70" t="s">
        <v>14</v>
      </c>
      <c r="O37" s="76" t="s">
        <v>13</v>
      </c>
      <c r="P37" s="76" t="s">
        <v>14</v>
      </c>
      <c r="Q37" s="70" t="s">
        <v>13</v>
      </c>
      <c r="R37" s="70" t="s">
        <v>14</v>
      </c>
      <c r="S37" s="76" t="s">
        <v>13</v>
      </c>
      <c r="T37" s="76" t="s">
        <v>14</v>
      </c>
      <c r="U37" s="70" t="s">
        <v>13</v>
      </c>
      <c r="V37" s="70" t="s">
        <v>14</v>
      </c>
      <c r="W37" s="56"/>
      <c r="Y37" s="97"/>
      <c r="Z37" s="97"/>
      <c r="AA37" s="97"/>
      <c r="AB37" s="97"/>
      <c r="AC37" s="97"/>
      <c r="AD37" s="97"/>
    </row>
    <row r="38" spans="2:30" ht="61.9" customHeight="1">
      <c r="D38" s="86"/>
      <c r="E38" s="86"/>
      <c r="F38" s="87"/>
      <c r="G38" s="77"/>
      <c r="H38" s="77"/>
      <c r="I38" s="71"/>
      <c r="J38" s="71"/>
      <c r="K38" s="77"/>
      <c r="L38" s="77"/>
      <c r="M38" s="71"/>
      <c r="N38" s="71"/>
      <c r="O38" s="77"/>
      <c r="P38" s="77"/>
      <c r="Q38" s="71"/>
      <c r="R38" s="71"/>
      <c r="S38" s="77"/>
      <c r="T38" s="77"/>
      <c r="U38" s="71"/>
      <c r="V38" s="71"/>
      <c r="W38" s="56"/>
      <c r="Y38" s="3" t="s">
        <v>65</v>
      </c>
      <c r="Z38" s="3" t="s">
        <v>66</v>
      </c>
      <c r="AA38" s="3" t="s">
        <v>67</v>
      </c>
      <c r="AB38" s="3" t="s">
        <v>68</v>
      </c>
      <c r="AC38" s="24"/>
      <c r="AD38" s="4"/>
    </row>
    <row r="39" spans="2:30" ht="14.45" customHeight="1">
      <c r="B39" s="82" t="s">
        <v>69</v>
      </c>
      <c r="C39" s="5" t="s">
        <v>20</v>
      </c>
      <c r="D39" s="6">
        <v>0.20349999999999999</v>
      </c>
      <c r="E39" s="7">
        <v>0.6</v>
      </c>
      <c r="F39" s="8">
        <v>0.12209999999999999</v>
      </c>
      <c r="G39" s="9">
        <v>0.3</v>
      </c>
      <c r="H39" s="9">
        <v>6.1049999999999993E-2</v>
      </c>
      <c r="I39" s="10">
        <v>0.2</v>
      </c>
      <c r="J39" s="10">
        <v>4.07E-2</v>
      </c>
      <c r="K39" s="9">
        <v>0.1</v>
      </c>
      <c r="L39" s="9">
        <v>2.035E-2</v>
      </c>
      <c r="M39" s="10">
        <v>0</v>
      </c>
      <c r="N39" s="10">
        <v>0</v>
      </c>
      <c r="O39" s="9">
        <v>0</v>
      </c>
      <c r="P39" s="9">
        <v>0</v>
      </c>
      <c r="Q39" s="11">
        <v>0</v>
      </c>
      <c r="R39" s="11">
        <v>0</v>
      </c>
      <c r="S39" s="9">
        <v>0</v>
      </c>
      <c r="T39" s="9">
        <v>0</v>
      </c>
      <c r="U39" s="12">
        <v>0</v>
      </c>
      <c r="V39" s="12">
        <v>0</v>
      </c>
      <c r="W39" s="40"/>
      <c r="Y39" s="22" t="s">
        <v>70</v>
      </c>
      <c r="Z39" s="23" t="s">
        <v>71</v>
      </c>
      <c r="AA39" s="23" t="s">
        <v>72</v>
      </c>
      <c r="AB39" s="23" t="s">
        <v>73</v>
      </c>
    </row>
    <row r="40" spans="2:30">
      <c r="B40" s="82"/>
      <c r="C40" s="5" t="s">
        <v>25</v>
      </c>
      <c r="D40" s="6">
        <v>0.15029999999999999</v>
      </c>
      <c r="E40" s="7">
        <v>0.4</v>
      </c>
      <c r="F40" s="8">
        <v>6.012E-2</v>
      </c>
      <c r="G40" s="9">
        <v>0.2</v>
      </c>
      <c r="H40" s="9">
        <v>3.006E-2</v>
      </c>
      <c r="I40" s="10">
        <v>0</v>
      </c>
      <c r="J40" s="10">
        <v>0</v>
      </c>
      <c r="K40" s="9">
        <v>0</v>
      </c>
      <c r="L40" s="9">
        <v>0</v>
      </c>
      <c r="M40" s="10">
        <v>0.2</v>
      </c>
      <c r="N40" s="10">
        <v>3.006E-2</v>
      </c>
      <c r="O40" s="9">
        <v>0</v>
      </c>
      <c r="P40" s="9">
        <v>0</v>
      </c>
      <c r="Q40" s="11">
        <v>0</v>
      </c>
      <c r="R40" s="11">
        <v>0</v>
      </c>
      <c r="S40" s="9">
        <v>0</v>
      </c>
      <c r="T40" s="9">
        <v>0</v>
      </c>
      <c r="U40" s="12">
        <v>0</v>
      </c>
      <c r="V40" s="12">
        <v>0</v>
      </c>
      <c r="W40" s="40"/>
      <c r="Y40" s="22" t="s">
        <v>74</v>
      </c>
      <c r="Z40" s="23" t="s">
        <v>75</v>
      </c>
      <c r="AA40" s="23" t="s">
        <v>76</v>
      </c>
      <c r="AB40" s="23" t="s">
        <v>77</v>
      </c>
    </row>
    <row r="41" spans="2:30">
      <c r="B41" s="82"/>
      <c r="C41" s="5" t="s">
        <v>30</v>
      </c>
      <c r="D41" s="6">
        <v>0.1016</v>
      </c>
      <c r="E41" s="7">
        <v>0</v>
      </c>
      <c r="F41" s="8">
        <v>0</v>
      </c>
      <c r="G41" s="9">
        <v>0</v>
      </c>
      <c r="H41" s="9">
        <v>0</v>
      </c>
      <c r="I41" s="10">
        <v>0</v>
      </c>
      <c r="J41" s="10">
        <v>0</v>
      </c>
      <c r="K41" s="9">
        <v>0</v>
      </c>
      <c r="L41" s="9">
        <v>0</v>
      </c>
      <c r="M41" s="10">
        <v>0</v>
      </c>
      <c r="N41" s="10">
        <v>0</v>
      </c>
      <c r="O41" s="9">
        <v>0</v>
      </c>
      <c r="P41" s="9">
        <v>0</v>
      </c>
      <c r="Q41" s="11">
        <v>0</v>
      </c>
      <c r="R41" s="11">
        <v>0</v>
      </c>
      <c r="S41" s="9">
        <v>0</v>
      </c>
      <c r="T41" s="9">
        <v>0</v>
      </c>
      <c r="U41" s="12">
        <v>0</v>
      </c>
      <c r="V41" s="12">
        <v>0</v>
      </c>
      <c r="W41" s="40"/>
      <c r="Y41" s="22" t="s">
        <v>78</v>
      </c>
      <c r="Z41" s="22" t="s">
        <v>78</v>
      </c>
      <c r="AA41" s="22" t="s">
        <v>78</v>
      </c>
      <c r="AB41" s="22" t="s">
        <v>78</v>
      </c>
    </row>
    <row r="42" spans="2:30">
      <c r="B42" s="82"/>
      <c r="C42" s="5" t="s">
        <v>32</v>
      </c>
      <c r="D42" s="6">
        <v>0.14899999999999999</v>
      </c>
      <c r="E42" s="7">
        <v>0.3</v>
      </c>
      <c r="F42" s="8">
        <v>4.4699999999999997E-2</v>
      </c>
      <c r="G42" s="9">
        <v>0</v>
      </c>
      <c r="H42" s="9">
        <v>0</v>
      </c>
      <c r="I42" s="10">
        <v>0.3</v>
      </c>
      <c r="J42" s="10">
        <v>4.4699999999999997E-2</v>
      </c>
      <c r="K42" s="9">
        <v>0</v>
      </c>
      <c r="L42" s="9">
        <v>0</v>
      </c>
      <c r="M42" s="10">
        <v>0</v>
      </c>
      <c r="N42" s="10">
        <v>0</v>
      </c>
      <c r="O42" s="9">
        <v>0</v>
      </c>
      <c r="P42" s="9">
        <v>0</v>
      </c>
      <c r="Q42" s="11">
        <v>0</v>
      </c>
      <c r="R42" s="11">
        <v>0</v>
      </c>
      <c r="S42" s="9">
        <v>0</v>
      </c>
      <c r="T42" s="9">
        <v>0</v>
      </c>
      <c r="U42" s="12">
        <v>0</v>
      </c>
      <c r="V42" s="12">
        <v>0</v>
      </c>
      <c r="W42" s="40"/>
      <c r="Y42" s="22" t="s">
        <v>79</v>
      </c>
      <c r="Z42" s="23" t="s">
        <v>80</v>
      </c>
      <c r="AA42" s="23" t="s">
        <v>81</v>
      </c>
      <c r="AB42" s="23" t="s">
        <v>82</v>
      </c>
    </row>
    <row r="43" spans="2:30">
      <c r="B43" s="82"/>
      <c r="C43" s="29" t="s">
        <v>37</v>
      </c>
      <c r="D43" s="6">
        <v>0.14269999999999999</v>
      </c>
      <c r="E43" s="7">
        <v>0.4</v>
      </c>
      <c r="F43" s="8">
        <v>5.7079999999999999E-2</v>
      </c>
      <c r="G43" s="9">
        <v>0</v>
      </c>
      <c r="H43" s="9">
        <v>0</v>
      </c>
      <c r="I43" s="10">
        <v>0</v>
      </c>
      <c r="J43" s="10">
        <v>0</v>
      </c>
      <c r="K43" s="9">
        <v>0</v>
      </c>
      <c r="L43" s="9">
        <v>0</v>
      </c>
      <c r="M43" s="10">
        <v>0.4</v>
      </c>
      <c r="N43" s="10">
        <v>5.7079999999999999E-2</v>
      </c>
      <c r="O43" s="9">
        <v>0</v>
      </c>
      <c r="P43" s="9">
        <v>0</v>
      </c>
      <c r="Q43" s="11">
        <v>0</v>
      </c>
      <c r="R43" s="11">
        <v>0</v>
      </c>
      <c r="S43" s="9">
        <v>0</v>
      </c>
      <c r="T43" s="9">
        <v>0</v>
      </c>
      <c r="U43" s="12">
        <v>0</v>
      </c>
      <c r="V43" s="12">
        <v>0</v>
      </c>
      <c r="W43" s="40"/>
      <c r="Y43" s="22" t="s">
        <v>83</v>
      </c>
      <c r="Z43" s="22" t="s">
        <v>84</v>
      </c>
      <c r="AA43" s="22" t="s">
        <v>85</v>
      </c>
      <c r="AB43" s="22" t="s">
        <v>86</v>
      </c>
    </row>
    <row r="44" spans="2:30">
      <c r="B44" s="82"/>
      <c r="C44" s="5" t="s">
        <v>41</v>
      </c>
      <c r="D44" s="6">
        <v>9.3700000000000006E-2</v>
      </c>
      <c r="E44" s="7">
        <v>0.55000000000000004</v>
      </c>
      <c r="F44" s="8">
        <v>5.1535000000000004E-2</v>
      </c>
      <c r="G44" s="9">
        <v>0.55000000000000004</v>
      </c>
      <c r="H44" s="9">
        <v>5.1535000000000004E-2</v>
      </c>
      <c r="I44" s="10">
        <v>0</v>
      </c>
      <c r="J44" s="10">
        <v>0</v>
      </c>
      <c r="K44" s="9">
        <v>0</v>
      </c>
      <c r="L44" s="9">
        <v>0</v>
      </c>
      <c r="M44" s="10">
        <v>0</v>
      </c>
      <c r="N44" s="10">
        <v>0</v>
      </c>
      <c r="O44" s="9">
        <v>0</v>
      </c>
      <c r="P44" s="9">
        <v>0</v>
      </c>
      <c r="Q44" s="12">
        <v>0</v>
      </c>
      <c r="R44" s="11">
        <v>0</v>
      </c>
      <c r="S44" s="9">
        <v>0</v>
      </c>
      <c r="T44" s="9">
        <v>0</v>
      </c>
      <c r="U44" s="12">
        <v>0</v>
      </c>
      <c r="V44" s="12">
        <v>0</v>
      </c>
      <c r="W44" s="40"/>
      <c r="Y44" s="22" t="s">
        <v>87</v>
      </c>
      <c r="Z44" s="22" t="s">
        <v>88</v>
      </c>
      <c r="AA44" s="22" t="s">
        <v>89</v>
      </c>
      <c r="AB44" s="23" t="s">
        <v>90</v>
      </c>
    </row>
    <row r="45" spans="2:30">
      <c r="B45" s="82"/>
      <c r="C45" s="5" t="s">
        <v>46</v>
      </c>
      <c r="D45" s="6">
        <v>0.1002</v>
      </c>
      <c r="E45" s="7">
        <v>0.1</v>
      </c>
      <c r="F45" s="8">
        <v>1.0020000000000001E-2</v>
      </c>
      <c r="G45" s="9">
        <v>0</v>
      </c>
      <c r="H45" s="9">
        <v>0</v>
      </c>
      <c r="I45" s="10">
        <v>0</v>
      </c>
      <c r="J45" s="10">
        <v>0</v>
      </c>
      <c r="K45" s="9">
        <v>0.1</v>
      </c>
      <c r="L45" s="9">
        <v>1.0020000000000001E-2</v>
      </c>
      <c r="M45" s="10">
        <v>0</v>
      </c>
      <c r="N45" s="10">
        <v>0</v>
      </c>
      <c r="O45" s="9">
        <v>0</v>
      </c>
      <c r="P45" s="9">
        <v>0</v>
      </c>
      <c r="Q45" s="12">
        <v>0</v>
      </c>
      <c r="R45" s="11">
        <v>0</v>
      </c>
      <c r="S45" s="9">
        <v>0</v>
      </c>
      <c r="T45" s="9">
        <v>0</v>
      </c>
      <c r="U45" s="12">
        <v>0</v>
      </c>
      <c r="V45" s="12">
        <v>0</v>
      </c>
      <c r="W45" s="40"/>
      <c r="Y45" s="22" t="s">
        <v>91</v>
      </c>
      <c r="Z45" s="22" t="s">
        <v>92</v>
      </c>
      <c r="AA45" s="22" t="s">
        <v>92</v>
      </c>
      <c r="AB45" s="22" t="s">
        <v>93</v>
      </c>
    </row>
    <row r="46" spans="2:30">
      <c r="B46" s="82"/>
      <c r="C46" s="5" t="s">
        <v>51</v>
      </c>
      <c r="D46" s="6">
        <v>5.8900000000000001E-2</v>
      </c>
      <c r="E46" s="7">
        <v>0.1</v>
      </c>
      <c r="F46" s="8">
        <v>5.8900000000000003E-3</v>
      </c>
      <c r="G46" s="9">
        <v>0</v>
      </c>
      <c r="H46" s="9">
        <v>0</v>
      </c>
      <c r="I46" s="10">
        <v>0</v>
      </c>
      <c r="J46" s="10">
        <v>0</v>
      </c>
      <c r="K46" s="9">
        <v>0</v>
      </c>
      <c r="L46" s="9">
        <v>0</v>
      </c>
      <c r="M46" s="10">
        <v>0</v>
      </c>
      <c r="N46" s="10">
        <v>0</v>
      </c>
      <c r="O46" s="9">
        <v>0</v>
      </c>
      <c r="P46" s="9">
        <v>0</v>
      </c>
      <c r="Q46" s="12">
        <v>0</v>
      </c>
      <c r="R46" s="11">
        <v>0</v>
      </c>
      <c r="S46" s="9">
        <v>0.1</v>
      </c>
      <c r="T46" s="9">
        <v>5.8900000000000003E-3</v>
      </c>
      <c r="U46" s="12">
        <v>0</v>
      </c>
      <c r="V46" s="12">
        <v>0</v>
      </c>
      <c r="W46" s="40"/>
      <c r="Y46" s="22" t="s">
        <v>54</v>
      </c>
      <c r="Z46" s="22" t="s">
        <v>94</v>
      </c>
      <c r="AA46" s="23" t="s">
        <v>95</v>
      </c>
      <c r="AB46" s="23" t="s">
        <v>82</v>
      </c>
    </row>
    <row r="47" spans="2:30">
      <c r="B47" s="82"/>
      <c r="C47" s="5" t="s">
        <v>55</v>
      </c>
      <c r="D47" s="6">
        <v>0</v>
      </c>
      <c r="E47" s="7">
        <v>0</v>
      </c>
      <c r="F47" s="8">
        <v>0</v>
      </c>
      <c r="G47" s="9">
        <v>0</v>
      </c>
      <c r="H47" s="9">
        <v>0</v>
      </c>
      <c r="I47" s="10">
        <v>0</v>
      </c>
      <c r="J47" s="10">
        <v>0</v>
      </c>
      <c r="K47" s="9">
        <v>0</v>
      </c>
      <c r="L47" s="9">
        <v>0</v>
      </c>
      <c r="M47" s="10">
        <v>0</v>
      </c>
      <c r="N47" s="10">
        <v>0</v>
      </c>
      <c r="O47" s="9">
        <v>0</v>
      </c>
      <c r="P47" s="9">
        <v>0</v>
      </c>
      <c r="Q47" s="12">
        <v>0</v>
      </c>
      <c r="R47" s="11">
        <v>0</v>
      </c>
      <c r="S47" s="9">
        <v>0</v>
      </c>
      <c r="T47" s="9">
        <v>0</v>
      </c>
      <c r="U47" s="12">
        <v>0</v>
      </c>
      <c r="V47" s="12">
        <v>0</v>
      </c>
      <c r="W47" s="40"/>
      <c r="Y47" s="22"/>
      <c r="Z47" s="22"/>
      <c r="AA47" s="23"/>
      <c r="AB47" s="23"/>
    </row>
    <row r="48" spans="2:30">
      <c r="B48" s="82"/>
      <c r="C48" s="5" t="s">
        <v>55</v>
      </c>
      <c r="D48" s="6">
        <v>0</v>
      </c>
      <c r="E48" s="7">
        <v>0</v>
      </c>
      <c r="F48" s="8">
        <v>0</v>
      </c>
      <c r="G48" s="9">
        <v>0</v>
      </c>
      <c r="H48" s="9">
        <v>0</v>
      </c>
      <c r="I48" s="10">
        <v>0</v>
      </c>
      <c r="J48" s="10">
        <v>0</v>
      </c>
      <c r="K48" s="9">
        <v>0</v>
      </c>
      <c r="L48" s="9">
        <v>0</v>
      </c>
      <c r="M48" s="10">
        <v>0</v>
      </c>
      <c r="N48" s="10">
        <v>0</v>
      </c>
      <c r="O48" s="9">
        <v>0</v>
      </c>
      <c r="P48" s="9">
        <v>0</v>
      </c>
      <c r="Q48" s="12">
        <v>0</v>
      </c>
      <c r="R48" s="11">
        <v>0</v>
      </c>
      <c r="S48" s="9">
        <v>0</v>
      </c>
      <c r="T48" s="9">
        <v>0</v>
      </c>
      <c r="U48" s="12">
        <v>0</v>
      </c>
      <c r="V48" s="12">
        <v>0</v>
      </c>
      <c r="W48" s="40"/>
      <c r="Y48" s="22"/>
      <c r="Z48" s="22"/>
      <c r="AA48" s="23"/>
      <c r="AB48" s="23"/>
    </row>
    <row r="49" spans="2:28">
      <c r="B49" s="82"/>
      <c r="C49" s="5" t="s">
        <v>55</v>
      </c>
      <c r="D49" s="6">
        <v>0</v>
      </c>
      <c r="E49" s="7">
        <v>0</v>
      </c>
      <c r="F49" s="8">
        <v>0</v>
      </c>
      <c r="G49" s="9">
        <v>0</v>
      </c>
      <c r="H49" s="9">
        <v>0</v>
      </c>
      <c r="I49" s="10">
        <v>0</v>
      </c>
      <c r="J49" s="10">
        <v>0</v>
      </c>
      <c r="K49" s="9">
        <v>0</v>
      </c>
      <c r="L49" s="9">
        <v>0</v>
      </c>
      <c r="M49" s="10">
        <v>0</v>
      </c>
      <c r="N49" s="10">
        <v>0</v>
      </c>
      <c r="O49" s="9">
        <v>0</v>
      </c>
      <c r="P49" s="9">
        <v>0</v>
      </c>
      <c r="Q49" s="12">
        <v>0</v>
      </c>
      <c r="R49" s="11">
        <v>0</v>
      </c>
      <c r="S49" s="9">
        <v>0</v>
      </c>
      <c r="T49" s="9">
        <v>0</v>
      </c>
      <c r="U49" s="12">
        <v>0</v>
      </c>
      <c r="V49" s="12">
        <v>0</v>
      </c>
      <c r="W49" s="40"/>
      <c r="Y49" s="22"/>
      <c r="Z49" s="22"/>
      <c r="AA49" s="22"/>
      <c r="AB49" s="22"/>
    </row>
    <row r="50" spans="2:28">
      <c r="B50" s="82"/>
      <c r="C50" s="5" t="s">
        <v>55</v>
      </c>
      <c r="D50" s="6">
        <v>0</v>
      </c>
      <c r="E50" s="7">
        <v>0</v>
      </c>
      <c r="F50" s="8">
        <v>0</v>
      </c>
      <c r="G50" s="9">
        <v>0</v>
      </c>
      <c r="H50" s="9">
        <v>0</v>
      </c>
      <c r="I50" s="10">
        <v>0</v>
      </c>
      <c r="J50" s="10">
        <v>0</v>
      </c>
      <c r="K50" s="9">
        <v>0</v>
      </c>
      <c r="L50" s="9">
        <v>0</v>
      </c>
      <c r="M50" s="10">
        <v>0</v>
      </c>
      <c r="N50" s="10">
        <v>0</v>
      </c>
      <c r="O50" s="9">
        <v>0</v>
      </c>
      <c r="P50" s="9">
        <v>0</v>
      </c>
      <c r="Q50" s="12">
        <v>0</v>
      </c>
      <c r="R50" s="11">
        <v>0</v>
      </c>
      <c r="S50" s="9">
        <v>0</v>
      </c>
      <c r="T50" s="9">
        <v>0</v>
      </c>
      <c r="U50" s="12">
        <v>0</v>
      </c>
      <c r="V50" s="12">
        <v>0</v>
      </c>
      <c r="W50" s="40"/>
      <c r="Y50" s="22"/>
      <c r="Z50" s="23"/>
      <c r="AA50" s="23"/>
      <c r="AB50" s="23"/>
    </row>
    <row r="51" spans="2:28">
      <c r="B51" s="82"/>
      <c r="C51" s="5" t="s">
        <v>55</v>
      </c>
      <c r="D51" s="6">
        <v>0</v>
      </c>
      <c r="E51" s="7">
        <v>0</v>
      </c>
      <c r="F51" s="8">
        <v>0</v>
      </c>
      <c r="G51" s="9">
        <v>0</v>
      </c>
      <c r="H51" s="9">
        <v>0</v>
      </c>
      <c r="I51" s="10">
        <v>0</v>
      </c>
      <c r="J51" s="10">
        <v>0</v>
      </c>
      <c r="K51" s="9">
        <v>0</v>
      </c>
      <c r="L51" s="9">
        <v>0</v>
      </c>
      <c r="M51" s="10">
        <v>0</v>
      </c>
      <c r="N51" s="10">
        <v>0</v>
      </c>
      <c r="O51" s="9">
        <v>0</v>
      </c>
      <c r="P51" s="9">
        <v>0</v>
      </c>
      <c r="Q51" s="12">
        <v>0</v>
      </c>
      <c r="R51" s="11">
        <v>0</v>
      </c>
      <c r="S51" s="9">
        <v>0</v>
      </c>
      <c r="T51" s="9">
        <v>0</v>
      </c>
      <c r="U51" s="12">
        <v>0</v>
      </c>
      <c r="V51" s="12">
        <v>0</v>
      </c>
      <c r="W51" s="40"/>
      <c r="Y51" s="22"/>
      <c r="Z51" s="23"/>
      <c r="AA51" s="23"/>
      <c r="AB51" s="23"/>
    </row>
    <row r="52" spans="2:28">
      <c r="B52" s="82"/>
      <c r="C52" s="5" t="s">
        <v>55</v>
      </c>
      <c r="D52" s="6">
        <v>0</v>
      </c>
      <c r="E52" s="7">
        <v>0</v>
      </c>
      <c r="F52" s="8">
        <v>0</v>
      </c>
      <c r="G52" s="9">
        <v>0</v>
      </c>
      <c r="H52" s="9">
        <v>0</v>
      </c>
      <c r="I52" s="10">
        <v>0</v>
      </c>
      <c r="J52" s="10">
        <v>0</v>
      </c>
      <c r="K52" s="9">
        <v>0</v>
      </c>
      <c r="L52" s="9">
        <v>0</v>
      </c>
      <c r="M52" s="10">
        <v>0</v>
      </c>
      <c r="N52" s="10">
        <v>0</v>
      </c>
      <c r="O52" s="9">
        <v>0</v>
      </c>
      <c r="P52" s="9">
        <v>0</v>
      </c>
      <c r="Q52" s="12">
        <v>0</v>
      </c>
      <c r="R52" s="11">
        <v>0</v>
      </c>
      <c r="S52" s="9">
        <v>0</v>
      </c>
      <c r="T52" s="9">
        <v>0</v>
      </c>
      <c r="U52" s="12">
        <v>0</v>
      </c>
      <c r="V52" s="12">
        <v>0</v>
      </c>
      <c r="W52" s="40"/>
      <c r="Y52" s="22"/>
      <c r="Z52" s="23"/>
      <c r="AA52" s="23"/>
      <c r="AB52" s="23"/>
    </row>
    <row r="53" spans="2:28">
      <c r="E53" s="39">
        <f>SUM(E39:E52)</f>
        <v>2.4500000000000002</v>
      </c>
      <c r="G53" s="14"/>
      <c r="H53" s="15">
        <f>SUM(H39:H52)</f>
        <v>0.14264499999999999</v>
      </c>
      <c r="I53" s="15"/>
      <c r="J53" s="15">
        <f>SUM(J39:J52)</f>
        <v>8.5400000000000004E-2</v>
      </c>
      <c r="K53" s="15"/>
      <c r="L53" s="15">
        <f>SUM(L39:L52)</f>
        <v>3.0370000000000001E-2</v>
      </c>
      <c r="M53" s="15"/>
      <c r="N53" s="15">
        <f>SUM(N39:N52)</f>
        <v>8.7139999999999995E-2</v>
      </c>
      <c r="O53" s="15"/>
      <c r="P53" s="15">
        <f>SUM(P39:P52)</f>
        <v>0</v>
      </c>
      <c r="Q53" s="15"/>
      <c r="R53" s="15">
        <f>SUM(R39:R52)</f>
        <v>0</v>
      </c>
      <c r="S53" s="15"/>
      <c r="T53" s="15">
        <f>SUM(T39:T52)</f>
        <v>5.8900000000000003E-3</v>
      </c>
      <c r="U53" s="15"/>
      <c r="V53" s="15">
        <f>SUM(V39:V52)</f>
        <v>0</v>
      </c>
      <c r="W53" s="15"/>
      <c r="Y53" s="13"/>
    </row>
    <row r="54" spans="2:28">
      <c r="B54" s="78" t="s">
        <v>96</v>
      </c>
      <c r="C54" s="78"/>
      <c r="D54" s="78"/>
      <c r="E54" s="93">
        <v>27988748.920000002</v>
      </c>
      <c r="F54" s="93"/>
      <c r="G54" s="9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Y54" s="13"/>
    </row>
    <row r="55" spans="2:28">
      <c r="B55" s="16"/>
      <c r="C55" s="16"/>
      <c r="D55" s="16"/>
      <c r="G55" s="14"/>
      <c r="H55" s="14"/>
      <c r="I55" s="14"/>
      <c r="J55" s="14"/>
      <c r="K55" s="84" t="s">
        <v>57</v>
      </c>
      <c r="L55" s="84"/>
      <c r="M55" s="84"/>
      <c r="N55" s="17">
        <v>1084.25</v>
      </c>
      <c r="O55" s="85">
        <v>45716</v>
      </c>
      <c r="P55" s="85"/>
      <c r="Q55" s="14"/>
      <c r="R55" s="14"/>
      <c r="S55" s="14"/>
      <c r="T55" s="14"/>
      <c r="U55" s="14"/>
      <c r="V55" s="14"/>
      <c r="W55" s="14"/>
      <c r="Y55" s="18"/>
    </row>
    <row r="56" spans="2:28">
      <c r="B56" s="19" t="s">
        <v>58</v>
      </c>
      <c r="C56" s="19"/>
      <c r="F56" s="67">
        <f>SUM(E39:E52)/8</f>
        <v>0.30625000000000002</v>
      </c>
      <c r="G56" s="67"/>
      <c r="H56" s="20"/>
      <c r="I56" s="20"/>
      <c r="Y56" s="21"/>
    </row>
    <row r="57" spans="2:28">
      <c r="B57" s="19" t="s">
        <v>59</v>
      </c>
      <c r="F57" s="67">
        <f>SUM(F39:F52)</f>
        <v>0.35144499999999995</v>
      </c>
      <c r="G57" s="67"/>
      <c r="I57" s="68">
        <f>E54*F57</f>
        <v>9836505.8641893994</v>
      </c>
      <c r="J57" s="68"/>
      <c r="K57" s="68"/>
      <c r="M57" s="69">
        <f>I57/N55</f>
        <v>9072.1751110808382</v>
      </c>
      <c r="N57" s="69"/>
      <c r="O57" s="69"/>
    </row>
    <row r="58" spans="2:28"/>
    <row r="59" spans="2:28">
      <c r="B59" s="78" t="s">
        <v>60</v>
      </c>
      <c r="C59" s="78"/>
      <c r="D59" s="78"/>
      <c r="F59" s="79">
        <f>1-F56</f>
        <v>0.69374999999999998</v>
      </c>
      <c r="G59" s="79"/>
    </row>
    <row r="60" spans="2:28">
      <c r="B60" s="78" t="s">
        <v>61</v>
      </c>
      <c r="C60" s="78"/>
      <c r="D60" s="78"/>
      <c r="F60" s="79">
        <f>1-F57</f>
        <v>0.64855499999999999</v>
      </c>
      <c r="G60" s="79"/>
      <c r="I60" s="80">
        <f>E54*F60</f>
        <v>18152243.055810601</v>
      </c>
      <c r="J60" s="80"/>
      <c r="K60" s="80"/>
      <c r="M60" s="81">
        <f>I60/N55</f>
        <v>16741.750570265714</v>
      </c>
      <c r="N60" s="81"/>
      <c r="O60" s="81"/>
    </row>
    <row r="61" spans="2:28"/>
    <row r="62" spans="2:28" ht="14.45" customHeight="1">
      <c r="B62" s="16" t="s">
        <v>62</v>
      </c>
      <c r="C62" s="16"/>
      <c r="D62" s="16"/>
      <c r="F62" s="62">
        <f>(8-(E53-E39-E41))/8</f>
        <v>0.76875000000000004</v>
      </c>
      <c r="G62" s="62"/>
      <c r="I62" s="63">
        <f>I60*F62</f>
        <v>13954536.8491544</v>
      </c>
      <c r="J62" s="63"/>
      <c r="K62" s="63"/>
      <c r="M62" s="64">
        <f>M60*F62</f>
        <v>12870.220750891769</v>
      </c>
      <c r="N62" s="64"/>
      <c r="O62" s="64"/>
      <c r="P62" s="65" t="s">
        <v>63</v>
      </c>
      <c r="Q62" s="65"/>
      <c r="R62" s="65"/>
      <c r="S62" s="65"/>
      <c r="T62" s="65"/>
    </row>
    <row r="63" spans="2:28" ht="14.45" customHeight="1">
      <c r="B63" s="16" t="s">
        <v>64</v>
      </c>
      <c r="F63" s="66"/>
      <c r="G63" s="66"/>
      <c r="I63" s="63">
        <f>I60-I62</f>
        <v>4197706.2066562008</v>
      </c>
      <c r="J63" s="63"/>
      <c r="K63" s="63"/>
      <c r="M63" s="64">
        <f>M60-M62</f>
        <v>3871.5298193739454</v>
      </c>
      <c r="N63" s="64"/>
      <c r="O63" s="64"/>
      <c r="P63" s="65"/>
      <c r="Q63" s="65"/>
      <c r="R63" s="65"/>
      <c r="S63" s="65"/>
      <c r="T63" s="65"/>
    </row>
    <row r="65" spans="2:30">
      <c r="G65" s="72">
        <f>$E$84*H83</f>
        <v>6051050.8961199997</v>
      </c>
      <c r="H65" s="73"/>
      <c r="I65" s="72">
        <f t="shared" ref="I65" si="13">$E$84*J83</f>
        <v>342945.52659600001</v>
      </c>
      <c r="J65" s="73"/>
      <c r="K65" s="72">
        <f t="shared" ref="K65" si="14">$E$84*L83</f>
        <v>1235205.2348730001</v>
      </c>
      <c r="L65" s="73"/>
      <c r="M65" s="72">
        <f t="shared" ref="M65" si="15">$E$84*N83</f>
        <v>4894536.0490800003</v>
      </c>
      <c r="N65" s="73"/>
      <c r="O65" s="72">
        <f t="shared" ref="O65" si="16">$E$84*P83</f>
        <v>0</v>
      </c>
      <c r="P65" s="73"/>
      <c r="Q65" s="72">
        <f t="shared" ref="Q65" si="17">$E$84*R83</f>
        <v>0</v>
      </c>
      <c r="R65" s="73"/>
      <c r="S65" s="72">
        <f t="shared" ref="S65" si="18">$E$84*T83</f>
        <v>344403.31841999997</v>
      </c>
      <c r="T65" s="73"/>
      <c r="U65" s="72">
        <f t="shared" ref="U65" si="19">$E$84*V83</f>
        <v>0</v>
      </c>
      <c r="V65" s="73"/>
      <c r="W65" s="2"/>
    </row>
    <row r="66" spans="2:30">
      <c r="D66" s="86" t="s">
        <v>2</v>
      </c>
      <c r="E66" s="86" t="s">
        <v>3</v>
      </c>
      <c r="F66" s="87" t="s">
        <v>4</v>
      </c>
      <c r="G66" s="88" t="s">
        <v>5</v>
      </c>
      <c r="H66" s="88"/>
      <c r="I66" s="74" t="s">
        <v>6</v>
      </c>
      <c r="J66" s="74"/>
      <c r="K66" s="74" t="s">
        <v>7</v>
      </c>
      <c r="L66" s="74"/>
      <c r="M66" s="74" t="s">
        <v>8</v>
      </c>
      <c r="N66" s="74"/>
      <c r="O66" s="74" t="s">
        <v>9</v>
      </c>
      <c r="P66" s="74"/>
      <c r="Q66" s="74" t="s">
        <v>10</v>
      </c>
      <c r="R66" s="74"/>
      <c r="S66" s="75" t="s">
        <v>11</v>
      </c>
      <c r="T66" s="75"/>
      <c r="U66" s="75" t="s">
        <v>12</v>
      </c>
      <c r="V66" s="75"/>
      <c r="W66" s="55"/>
    </row>
    <row r="67" spans="2:30">
      <c r="D67" s="86"/>
      <c r="E67" s="86"/>
      <c r="F67" s="87"/>
      <c r="G67" s="76" t="s">
        <v>13</v>
      </c>
      <c r="H67" s="76" t="s">
        <v>14</v>
      </c>
      <c r="I67" s="70" t="s">
        <v>13</v>
      </c>
      <c r="J67" s="70" t="s">
        <v>14</v>
      </c>
      <c r="K67" s="76" t="s">
        <v>13</v>
      </c>
      <c r="L67" s="76" t="s">
        <v>14</v>
      </c>
      <c r="M67" s="70" t="s">
        <v>13</v>
      </c>
      <c r="N67" s="70" t="s">
        <v>14</v>
      </c>
      <c r="O67" s="76" t="s">
        <v>13</v>
      </c>
      <c r="P67" s="76" t="s">
        <v>14</v>
      </c>
      <c r="Q67" s="70" t="s">
        <v>13</v>
      </c>
      <c r="R67" s="70" t="s">
        <v>14</v>
      </c>
      <c r="S67" s="76" t="s">
        <v>13</v>
      </c>
      <c r="T67" s="76" t="s">
        <v>14</v>
      </c>
      <c r="U67" s="70" t="s">
        <v>13</v>
      </c>
      <c r="V67" s="70" t="s">
        <v>14</v>
      </c>
      <c r="W67" s="56"/>
    </row>
    <row r="68" spans="2:30" ht="61.9" customHeight="1">
      <c r="D68" s="86"/>
      <c r="E68" s="86"/>
      <c r="F68" s="87"/>
      <c r="G68" s="77"/>
      <c r="H68" s="77"/>
      <c r="I68" s="71"/>
      <c r="J68" s="71"/>
      <c r="K68" s="77"/>
      <c r="L68" s="77"/>
      <c r="M68" s="71"/>
      <c r="N68" s="71"/>
      <c r="O68" s="77"/>
      <c r="P68" s="77"/>
      <c r="Q68" s="71"/>
      <c r="R68" s="71"/>
      <c r="S68" s="77"/>
      <c r="T68" s="77"/>
      <c r="U68" s="71"/>
      <c r="V68" s="71"/>
      <c r="W68" s="56"/>
      <c r="Y68" s="3" t="s">
        <v>65</v>
      </c>
      <c r="Z68" s="3" t="s">
        <v>66</v>
      </c>
      <c r="AA68" s="3" t="s">
        <v>67</v>
      </c>
      <c r="AB68" s="3" t="s">
        <v>68</v>
      </c>
      <c r="AC68" s="24"/>
      <c r="AD68" s="4"/>
    </row>
    <row r="69" spans="2:30" ht="14.45" customHeight="1">
      <c r="B69" s="82" t="s">
        <v>97</v>
      </c>
      <c r="C69" s="5" t="s">
        <v>20</v>
      </c>
      <c r="D69" s="6">
        <v>0.2019</v>
      </c>
      <c r="E69" s="31">
        <f>SUM(G69,I69,K69,M69,O69,Q69,S69,U69)</f>
        <v>0.25</v>
      </c>
      <c r="F69" s="38">
        <f>D69*E69</f>
        <v>5.0474999999999999E-2</v>
      </c>
      <c r="G69" s="9">
        <v>0.2</v>
      </c>
      <c r="H69" s="9">
        <f>G69*D69</f>
        <v>4.0379999999999999E-2</v>
      </c>
      <c r="I69" s="10">
        <v>0</v>
      </c>
      <c r="J69" s="10">
        <f>I69*D69</f>
        <v>0</v>
      </c>
      <c r="K69" s="9">
        <v>0.05</v>
      </c>
      <c r="L69" s="9">
        <f>K69*D69</f>
        <v>1.0095E-2</v>
      </c>
      <c r="M69" s="10">
        <v>0</v>
      </c>
      <c r="N69" s="10">
        <f>M69*D69</f>
        <v>0</v>
      </c>
      <c r="O69" s="9">
        <v>0</v>
      </c>
      <c r="P69" s="9">
        <f>O69*D69</f>
        <v>0</v>
      </c>
      <c r="Q69" s="11">
        <v>0</v>
      </c>
      <c r="R69" s="11">
        <f>Q69*D69</f>
        <v>0</v>
      </c>
      <c r="S69" s="9">
        <v>0</v>
      </c>
      <c r="T69" s="9">
        <f>S69*D69</f>
        <v>0</v>
      </c>
      <c r="U69" s="12">
        <v>0</v>
      </c>
      <c r="V69" s="12">
        <f>U69*D69</f>
        <v>0</v>
      </c>
      <c r="W69" s="40"/>
      <c r="Y69" s="22" t="s">
        <v>98</v>
      </c>
      <c r="Z69" s="23" t="s">
        <v>99</v>
      </c>
      <c r="AA69" s="23" t="s">
        <v>100</v>
      </c>
      <c r="AB69" s="22" t="s">
        <v>101</v>
      </c>
    </row>
    <row r="70" spans="2:30">
      <c r="B70" s="82"/>
      <c r="C70" s="5" t="s">
        <v>25</v>
      </c>
      <c r="D70" s="6">
        <v>0.18859999999999999</v>
      </c>
      <c r="E70" s="31">
        <f t="shared" ref="E70:E82" si="20">SUM(G70,I70,K70,M70,O70,Q70,S70,U70)</f>
        <v>0.6</v>
      </c>
      <c r="F70" s="38">
        <f t="shared" ref="F70:F82" si="21">D70*E70</f>
        <v>0.11315999999999998</v>
      </c>
      <c r="G70" s="9">
        <v>0.45</v>
      </c>
      <c r="H70" s="9">
        <f t="shared" ref="H70:H82" si="22">G70*D70</f>
        <v>8.4870000000000001E-2</v>
      </c>
      <c r="I70" s="10">
        <v>0</v>
      </c>
      <c r="J70" s="10">
        <f t="shared" ref="J70:J82" si="23">I70*D70</f>
        <v>0</v>
      </c>
      <c r="K70" s="9">
        <v>0</v>
      </c>
      <c r="L70" s="9">
        <f t="shared" ref="L70:L82" si="24">K70*D70</f>
        <v>0</v>
      </c>
      <c r="M70" s="10">
        <v>0.15</v>
      </c>
      <c r="N70" s="10">
        <f t="shared" ref="N70:N82" si="25">M70*D70</f>
        <v>2.8289999999999996E-2</v>
      </c>
      <c r="O70" s="9">
        <v>0</v>
      </c>
      <c r="P70" s="9">
        <f t="shared" ref="P70:P82" si="26">O70*D70</f>
        <v>0</v>
      </c>
      <c r="Q70" s="11">
        <v>0</v>
      </c>
      <c r="R70" s="11">
        <f t="shared" ref="R70:R82" si="27">Q70*D70</f>
        <v>0</v>
      </c>
      <c r="S70" s="9">
        <v>0</v>
      </c>
      <c r="T70" s="9">
        <f t="shared" ref="T70:T82" si="28">S70*D70</f>
        <v>0</v>
      </c>
      <c r="U70" s="12">
        <v>0</v>
      </c>
      <c r="V70" s="12">
        <f t="shared" ref="V70:V82" si="29">U70*D70</f>
        <v>0</v>
      </c>
      <c r="W70" s="40"/>
      <c r="Y70" s="22" t="s">
        <v>102</v>
      </c>
      <c r="Z70" s="23" t="s">
        <v>103</v>
      </c>
      <c r="AA70" s="23" t="s">
        <v>104</v>
      </c>
      <c r="AB70" s="22" t="s">
        <v>105</v>
      </c>
    </row>
    <row r="71" spans="2:30">
      <c r="B71" s="82"/>
      <c r="C71" s="5" t="s">
        <v>30</v>
      </c>
      <c r="D71" s="6">
        <v>0.11459999999999999</v>
      </c>
      <c r="E71" s="31">
        <f t="shared" si="20"/>
        <v>0</v>
      </c>
      <c r="F71" s="38">
        <f t="shared" si="21"/>
        <v>0</v>
      </c>
      <c r="G71" s="9">
        <v>0</v>
      </c>
      <c r="H71" s="9">
        <f t="shared" si="22"/>
        <v>0</v>
      </c>
      <c r="I71" s="10">
        <v>0</v>
      </c>
      <c r="J71" s="10">
        <f t="shared" si="23"/>
        <v>0</v>
      </c>
      <c r="K71" s="9">
        <v>0</v>
      </c>
      <c r="L71" s="9">
        <f t="shared" si="24"/>
        <v>0</v>
      </c>
      <c r="M71" s="10">
        <v>0</v>
      </c>
      <c r="N71" s="10">
        <f t="shared" si="25"/>
        <v>0</v>
      </c>
      <c r="O71" s="9">
        <v>0</v>
      </c>
      <c r="P71" s="9">
        <f t="shared" si="26"/>
        <v>0</v>
      </c>
      <c r="Q71" s="11">
        <v>0</v>
      </c>
      <c r="R71" s="11">
        <f t="shared" si="27"/>
        <v>0</v>
      </c>
      <c r="S71" s="9">
        <v>0</v>
      </c>
      <c r="T71" s="9">
        <f t="shared" si="28"/>
        <v>0</v>
      </c>
      <c r="U71" s="12">
        <v>0</v>
      </c>
      <c r="V71" s="12">
        <f t="shared" si="29"/>
        <v>0</v>
      </c>
      <c r="W71" s="40"/>
      <c r="Y71" s="22" t="s">
        <v>106</v>
      </c>
      <c r="Z71" s="22" t="s">
        <v>106</v>
      </c>
      <c r="AA71" s="22" t="s">
        <v>106</v>
      </c>
      <c r="AB71" s="22" t="s">
        <v>106</v>
      </c>
    </row>
    <row r="72" spans="2:30">
      <c r="B72" s="82"/>
      <c r="C72" s="5" t="s">
        <v>32</v>
      </c>
      <c r="D72" s="6">
        <v>0.13420000000000001</v>
      </c>
      <c r="E72" s="31">
        <f t="shared" si="20"/>
        <v>0.09</v>
      </c>
      <c r="F72" s="38">
        <f t="shared" si="21"/>
        <v>1.2078E-2</v>
      </c>
      <c r="G72" s="9">
        <v>0</v>
      </c>
      <c r="H72" s="9">
        <f t="shared" si="22"/>
        <v>0</v>
      </c>
      <c r="I72" s="10">
        <v>0.06</v>
      </c>
      <c r="J72" s="10">
        <f t="shared" si="23"/>
        <v>8.0520000000000001E-3</v>
      </c>
      <c r="K72" s="9">
        <v>0.03</v>
      </c>
      <c r="L72" s="9">
        <f t="shared" si="24"/>
        <v>4.0260000000000001E-3</v>
      </c>
      <c r="M72" s="10">
        <v>0</v>
      </c>
      <c r="N72" s="10">
        <f t="shared" si="25"/>
        <v>0</v>
      </c>
      <c r="O72" s="9">
        <v>0</v>
      </c>
      <c r="P72" s="9">
        <f t="shared" si="26"/>
        <v>0</v>
      </c>
      <c r="Q72" s="11">
        <v>0</v>
      </c>
      <c r="R72" s="11">
        <f t="shared" si="27"/>
        <v>0</v>
      </c>
      <c r="S72" s="9">
        <v>0</v>
      </c>
      <c r="T72" s="9">
        <f t="shared" si="28"/>
        <v>0</v>
      </c>
      <c r="U72" s="12">
        <v>0</v>
      </c>
      <c r="V72" s="12">
        <f t="shared" si="29"/>
        <v>0</v>
      </c>
      <c r="W72" s="40"/>
      <c r="Y72" s="22" t="s">
        <v>107</v>
      </c>
      <c r="Z72" s="22" t="s">
        <v>108</v>
      </c>
      <c r="AA72" s="23" t="s">
        <v>109</v>
      </c>
      <c r="AB72" s="22" t="s">
        <v>110</v>
      </c>
    </row>
    <row r="73" spans="2:30">
      <c r="B73" s="82"/>
      <c r="C73" s="29" t="s">
        <v>37</v>
      </c>
      <c r="D73" s="6">
        <v>0.1343</v>
      </c>
      <c r="E73" s="31">
        <f t="shared" si="20"/>
        <v>0.95</v>
      </c>
      <c r="F73" s="38">
        <f t="shared" si="21"/>
        <v>0.127585</v>
      </c>
      <c r="G73" s="9">
        <v>0</v>
      </c>
      <c r="H73" s="9">
        <f t="shared" si="22"/>
        <v>0</v>
      </c>
      <c r="I73" s="10">
        <v>0</v>
      </c>
      <c r="J73" s="10">
        <f t="shared" si="23"/>
        <v>0</v>
      </c>
      <c r="K73" s="9">
        <v>0</v>
      </c>
      <c r="L73" s="9">
        <f t="shared" si="24"/>
        <v>0</v>
      </c>
      <c r="M73" s="10">
        <v>0.95</v>
      </c>
      <c r="N73" s="10">
        <f t="shared" si="25"/>
        <v>0.127585</v>
      </c>
      <c r="O73" s="9">
        <v>0</v>
      </c>
      <c r="P73" s="9">
        <f t="shared" si="26"/>
        <v>0</v>
      </c>
      <c r="Q73" s="11">
        <v>0</v>
      </c>
      <c r="R73" s="11">
        <f t="shared" si="27"/>
        <v>0</v>
      </c>
      <c r="S73" s="9">
        <v>0</v>
      </c>
      <c r="T73" s="9">
        <f t="shared" si="28"/>
        <v>0</v>
      </c>
      <c r="U73" s="12">
        <v>0</v>
      </c>
      <c r="V73" s="12">
        <f t="shared" si="29"/>
        <v>0</v>
      </c>
      <c r="W73" s="40"/>
      <c r="Y73" s="22" t="s">
        <v>111</v>
      </c>
      <c r="Z73" s="23" t="s">
        <v>112</v>
      </c>
      <c r="AA73" s="23" t="s">
        <v>112</v>
      </c>
      <c r="AB73" s="23" t="s">
        <v>113</v>
      </c>
    </row>
    <row r="74" spans="2:30">
      <c r="B74" s="82"/>
      <c r="C74" s="5" t="s">
        <v>41</v>
      </c>
      <c r="D74" s="6">
        <v>0.1057</v>
      </c>
      <c r="E74" s="31">
        <f t="shared" si="20"/>
        <v>0.75</v>
      </c>
      <c r="F74" s="38">
        <f t="shared" si="21"/>
        <v>7.9274999999999998E-2</v>
      </c>
      <c r="G74" s="9">
        <v>0.7</v>
      </c>
      <c r="H74" s="9">
        <f t="shared" si="22"/>
        <v>7.399E-2</v>
      </c>
      <c r="I74" s="10">
        <v>0</v>
      </c>
      <c r="J74" s="10">
        <f t="shared" si="23"/>
        <v>0</v>
      </c>
      <c r="K74" s="9">
        <v>0</v>
      </c>
      <c r="L74" s="9">
        <f t="shared" si="24"/>
        <v>0</v>
      </c>
      <c r="M74" s="10">
        <v>0.05</v>
      </c>
      <c r="N74" s="10">
        <f t="shared" si="25"/>
        <v>5.2850000000000006E-3</v>
      </c>
      <c r="O74" s="9">
        <v>0</v>
      </c>
      <c r="P74" s="9">
        <f t="shared" si="26"/>
        <v>0</v>
      </c>
      <c r="Q74" s="12">
        <v>0</v>
      </c>
      <c r="R74" s="11">
        <f t="shared" si="27"/>
        <v>0</v>
      </c>
      <c r="S74" s="9">
        <v>0</v>
      </c>
      <c r="T74" s="9">
        <f t="shared" si="28"/>
        <v>0</v>
      </c>
      <c r="U74" s="12">
        <v>0</v>
      </c>
      <c r="V74" s="12">
        <f t="shared" si="29"/>
        <v>0</v>
      </c>
      <c r="W74" s="40"/>
      <c r="Y74" s="22" t="s">
        <v>114</v>
      </c>
      <c r="Z74" s="23" t="s">
        <v>115</v>
      </c>
      <c r="AA74" s="36" t="s">
        <v>24</v>
      </c>
      <c r="AB74" s="22" t="s">
        <v>116</v>
      </c>
    </row>
    <row r="75" spans="2:30">
      <c r="B75" s="82"/>
      <c r="C75" s="5" t="s">
        <v>46</v>
      </c>
      <c r="D75" s="6">
        <v>8.8499999999999995E-2</v>
      </c>
      <c r="E75" s="31">
        <f t="shared" si="20"/>
        <v>0.3</v>
      </c>
      <c r="F75" s="38">
        <f t="shared" si="21"/>
        <v>2.6549999999999997E-2</v>
      </c>
      <c r="G75" s="9">
        <v>0</v>
      </c>
      <c r="H75" s="9">
        <f t="shared" si="22"/>
        <v>0</v>
      </c>
      <c r="I75" s="10">
        <v>0</v>
      </c>
      <c r="J75" s="10">
        <f t="shared" si="23"/>
        <v>0</v>
      </c>
      <c r="K75" s="9">
        <v>0.3</v>
      </c>
      <c r="L75" s="9">
        <f t="shared" si="24"/>
        <v>2.6549999999999997E-2</v>
      </c>
      <c r="M75" s="10">
        <v>0</v>
      </c>
      <c r="N75" s="10">
        <f t="shared" si="25"/>
        <v>0</v>
      </c>
      <c r="O75" s="9">
        <v>0</v>
      </c>
      <c r="P75" s="9">
        <f t="shared" si="26"/>
        <v>0</v>
      </c>
      <c r="Q75" s="12">
        <v>0</v>
      </c>
      <c r="R75" s="11">
        <f t="shared" si="27"/>
        <v>0</v>
      </c>
      <c r="S75" s="9">
        <v>0</v>
      </c>
      <c r="T75" s="9">
        <f t="shared" si="28"/>
        <v>0</v>
      </c>
      <c r="U75" s="12">
        <v>0</v>
      </c>
      <c r="V75" s="12">
        <f t="shared" si="29"/>
        <v>0</v>
      </c>
      <c r="W75" s="40"/>
      <c r="Y75" s="37" t="s">
        <v>117</v>
      </c>
      <c r="Z75" s="23" t="s">
        <v>118</v>
      </c>
      <c r="AA75" s="23" t="s">
        <v>119</v>
      </c>
      <c r="AB75" s="22" t="s">
        <v>120</v>
      </c>
    </row>
    <row r="76" spans="2:30">
      <c r="B76" s="82"/>
      <c r="C76" s="5" t="s">
        <v>51</v>
      </c>
      <c r="D76" s="6">
        <v>3.2399999999999998E-2</v>
      </c>
      <c r="E76" s="31">
        <f t="shared" si="20"/>
        <v>0.44999999999999996</v>
      </c>
      <c r="F76" s="38">
        <f t="shared" si="21"/>
        <v>1.4579999999999997E-2</v>
      </c>
      <c r="G76" s="9">
        <v>0</v>
      </c>
      <c r="H76" s="9">
        <f t="shared" si="22"/>
        <v>0</v>
      </c>
      <c r="I76" s="10">
        <v>0.1</v>
      </c>
      <c r="J76" s="10">
        <f t="shared" si="23"/>
        <v>3.2399999999999998E-3</v>
      </c>
      <c r="K76" s="9">
        <v>0</v>
      </c>
      <c r="L76" s="9">
        <f t="shared" si="24"/>
        <v>0</v>
      </c>
      <c r="M76" s="10">
        <v>0</v>
      </c>
      <c r="N76" s="10">
        <f t="shared" si="25"/>
        <v>0</v>
      </c>
      <c r="O76" s="9">
        <v>0</v>
      </c>
      <c r="P76" s="9">
        <f t="shared" si="26"/>
        <v>0</v>
      </c>
      <c r="Q76" s="12">
        <v>0</v>
      </c>
      <c r="R76" s="11">
        <f t="shared" si="27"/>
        <v>0</v>
      </c>
      <c r="S76" s="9">
        <v>0.35</v>
      </c>
      <c r="T76" s="9">
        <f t="shared" si="28"/>
        <v>1.1339999999999999E-2</v>
      </c>
      <c r="U76" s="12">
        <v>0</v>
      </c>
      <c r="V76" s="12">
        <f t="shared" si="29"/>
        <v>0</v>
      </c>
      <c r="W76" s="40"/>
      <c r="Y76" s="22" t="s">
        <v>121</v>
      </c>
      <c r="Z76" s="22" t="s">
        <v>122</v>
      </c>
      <c r="AA76" s="36" t="s">
        <v>123</v>
      </c>
      <c r="AB76" s="36" t="s">
        <v>123</v>
      </c>
    </row>
    <row r="77" spans="2:30">
      <c r="B77" s="82"/>
      <c r="C77" s="5" t="s">
        <v>55</v>
      </c>
      <c r="D77" s="6">
        <v>0</v>
      </c>
      <c r="E77" s="31">
        <f t="shared" si="20"/>
        <v>0</v>
      </c>
      <c r="F77" s="38">
        <f t="shared" si="21"/>
        <v>0</v>
      </c>
      <c r="G77" s="9">
        <v>0</v>
      </c>
      <c r="H77" s="9">
        <f t="shared" si="22"/>
        <v>0</v>
      </c>
      <c r="I77" s="10">
        <v>0</v>
      </c>
      <c r="J77" s="10">
        <f t="shared" si="23"/>
        <v>0</v>
      </c>
      <c r="K77" s="9">
        <v>0</v>
      </c>
      <c r="L77" s="9">
        <f t="shared" si="24"/>
        <v>0</v>
      </c>
      <c r="M77" s="10">
        <v>0</v>
      </c>
      <c r="N77" s="10">
        <f t="shared" si="25"/>
        <v>0</v>
      </c>
      <c r="O77" s="9">
        <v>0</v>
      </c>
      <c r="P77" s="9">
        <f t="shared" si="26"/>
        <v>0</v>
      </c>
      <c r="Q77" s="12">
        <v>0</v>
      </c>
      <c r="R77" s="11">
        <f t="shared" si="27"/>
        <v>0</v>
      </c>
      <c r="S77" s="9">
        <v>0</v>
      </c>
      <c r="T77" s="9">
        <f t="shared" si="28"/>
        <v>0</v>
      </c>
      <c r="U77" s="12">
        <v>0</v>
      </c>
      <c r="V77" s="12">
        <f t="shared" si="29"/>
        <v>0</v>
      </c>
      <c r="W77" s="40"/>
      <c r="Y77" s="22"/>
      <c r="Z77" s="23"/>
      <c r="AA77" s="23"/>
      <c r="AB77" s="22"/>
    </row>
    <row r="78" spans="2:30">
      <c r="B78" s="82"/>
      <c r="C78" s="5" t="s">
        <v>55</v>
      </c>
      <c r="D78" s="6">
        <v>0</v>
      </c>
      <c r="E78" s="31">
        <f t="shared" si="20"/>
        <v>0</v>
      </c>
      <c r="F78" s="38">
        <f t="shared" si="21"/>
        <v>0</v>
      </c>
      <c r="G78" s="9">
        <v>0</v>
      </c>
      <c r="H78" s="9">
        <f t="shared" si="22"/>
        <v>0</v>
      </c>
      <c r="I78" s="10">
        <v>0</v>
      </c>
      <c r="J78" s="10">
        <f t="shared" si="23"/>
        <v>0</v>
      </c>
      <c r="K78" s="9">
        <v>0</v>
      </c>
      <c r="L78" s="9">
        <f t="shared" si="24"/>
        <v>0</v>
      </c>
      <c r="M78" s="10">
        <v>0</v>
      </c>
      <c r="N78" s="10">
        <f t="shared" si="25"/>
        <v>0</v>
      </c>
      <c r="O78" s="9">
        <v>0</v>
      </c>
      <c r="P78" s="9">
        <f t="shared" si="26"/>
        <v>0</v>
      </c>
      <c r="Q78" s="12">
        <v>0</v>
      </c>
      <c r="R78" s="11">
        <f t="shared" si="27"/>
        <v>0</v>
      </c>
      <c r="S78" s="9">
        <v>0</v>
      </c>
      <c r="T78" s="9">
        <f t="shared" si="28"/>
        <v>0</v>
      </c>
      <c r="U78" s="12">
        <v>0</v>
      </c>
      <c r="V78" s="12">
        <f t="shared" si="29"/>
        <v>0</v>
      </c>
      <c r="W78" s="40"/>
      <c r="Y78" s="22"/>
      <c r="Z78" s="23"/>
      <c r="AA78" s="23"/>
      <c r="AB78" s="22"/>
    </row>
    <row r="79" spans="2:30">
      <c r="B79" s="82"/>
      <c r="C79" s="5" t="s">
        <v>55</v>
      </c>
      <c r="D79" s="6">
        <v>0</v>
      </c>
      <c r="E79" s="31">
        <f t="shared" si="20"/>
        <v>0</v>
      </c>
      <c r="F79" s="38">
        <f t="shared" si="21"/>
        <v>0</v>
      </c>
      <c r="G79" s="9">
        <v>0</v>
      </c>
      <c r="H79" s="9">
        <f t="shared" si="22"/>
        <v>0</v>
      </c>
      <c r="I79" s="10">
        <v>0</v>
      </c>
      <c r="J79" s="10">
        <f t="shared" si="23"/>
        <v>0</v>
      </c>
      <c r="K79" s="9">
        <v>0</v>
      </c>
      <c r="L79" s="9">
        <f t="shared" si="24"/>
        <v>0</v>
      </c>
      <c r="M79" s="10">
        <v>0</v>
      </c>
      <c r="N79" s="10">
        <f t="shared" si="25"/>
        <v>0</v>
      </c>
      <c r="O79" s="9">
        <v>0</v>
      </c>
      <c r="P79" s="9">
        <f t="shared" si="26"/>
        <v>0</v>
      </c>
      <c r="Q79" s="12">
        <v>0</v>
      </c>
      <c r="R79" s="11">
        <f t="shared" si="27"/>
        <v>0</v>
      </c>
      <c r="S79" s="9">
        <v>0</v>
      </c>
      <c r="T79" s="9">
        <f t="shared" si="28"/>
        <v>0</v>
      </c>
      <c r="U79" s="12">
        <v>0</v>
      </c>
      <c r="V79" s="12">
        <f t="shared" si="29"/>
        <v>0</v>
      </c>
      <c r="W79" s="40"/>
      <c r="Y79" s="22"/>
      <c r="Z79" s="23"/>
      <c r="AA79" s="23"/>
      <c r="AB79" s="22"/>
    </row>
    <row r="80" spans="2:30">
      <c r="B80" s="82"/>
      <c r="C80" s="5" t="s">
        <v>55</v>
      </c>
      <c r="D80" s="6">
        <v>0</v>
      </c>
      <c r="E80" s="31">
        <f t="shared" si="20"/>
        <v>0</v>
      </c>
      <c r="F80" s="38">
        <f t="shared" si="21"/>
        <v>0</v>
      </c>
      <c r="G80" s="9">
        <v>0</v>
      </c>
      <c r="H80" s="9">
        <f t="shared" si="22"/>
        <v>0</v>
      </c>
      <c r="I80" s="10">
        <v>0</v>
      </c>
      <c r="J80" s="10">
        <f t="shared" si="23"/>
        <v>0</v>
      </c>
      <c r="K80" s="9">
        <v>0</v>
      </c>
      <c r="L80" s="9">
        <f t="shared" si="24"/>
        <v>0</v>
      </c>
      <c r="M80" s="10">
        <v>0</v>
      </c>
      <c r="N80" s="10">
        <f t="shared" si="25"/>
        <v>0</v>
      </c>
      <c r="O80" s="9">
        <v>0</v>
      </c>
      <c r="P80" s="9">
        <f t="shared" si="26"/>
        <v>0</v>
      </c>
      <c r="Q80" s="12">
        <v>0</v>
      </c>
      <c r="R80" s="11">
        <f t="shared" si="27"/>
        <v>0</v>
      </c>
      <c r="S80" s="9">
        <v>0</v>
      </c>
      <c r="T80" s="9">
        <f t="shared" si="28"/>
        <v>0</v>
      </c>
      <c r="U80" s="12">
        <v>0</v>
      </c>
      <c r="V80" s="12">
        <f t="shared" si="29"/>
        <v>0</v>
      </c>
      <c r="W80" s="40"/>
      <c r="Y80" s="22"/>
      <c r="Z80" s="23"/>
      <c r="AA80" s="23"/>
      <c r="AB80" s="22"/>
    </row>
    <row r="81" spans="2:28">
      <c r="B81" s="82"/>
      <c r="C81" s="5" t="s">
        <v>55</v>
      </c>
      <c r="D81" s="6">
        <v>0</v>
      </c>
      <c r="E81" s="31">
        <f t="shared" si="20"/>
        <v>0</v>
      </c>
      <c r="F81" s="38">
        <f t="shared" si="21"/>
        <v>0</v>
      </c>
      <c r="G81" s="9">
        <v>0</v>
      </c>
      <c r="H81" s="9">
        <f t="shared" si="22"/>
        <v>0</v>
      </c>
      <c r="I81" s="10">
        <v>0</v>
      </c>
      <c r="J81" s="10">
        <f t="shared" si="23"/>
        <v>0</v>
      </c>
      <c r="K81" s="9">
        <v>0</v>
      </c>
      <c r="L81" s="9">
        <f t="shared" si="24"/>
        <v>0</v>
      </c>
      <c r="M81" s="10">
        <v>0</v>
      </c>
      <c r="N81" s="10">
        <f t="shared" si="25"/>
        <v>0</v>
      </c>
      <c r="O81" s="9">
        <v>0</v>
      </c>
      <c r="P81" s="9">
        <f t="shared" si="26"/>
        <v>0</v>
      </c>
      <c r="Q81" s="12">
        <v>0</v>
      </c>
      <c r="R81" s="11">
        <f t="shared" si="27"/>
        <v>0</v>
      </c>
      <c r="S81" s="9">
        <v>0</v>
      </c>
      <c r="T81" s="9">
        <f t="shared" si="28"/>
        <v>0</v>
      </c>
      <c r="U81" s="12">
        <v>0</v>
      </c>
      <c r="V81" s="12">
        <f t="shared" si="29"/>
        <v>0</v>
      </c>
      <c r="W81" s="40"/>
      <c r="Y81" s="22"/>
      <c r="Z81" s="23"/>
      <c r="AA81" s="23"/>
      <c r="AB81" s="22"/>
    </row>
    <row r="82" spans="2:28">
      <c r="B82" s="82"/>
      <c r="C82" s="5" t="s">
        <v>55</v>
      </c>
      <c r="D82" s="6">
        <v>0</v>
      </c>
      <c r="E82" s="31">
        <f t="shared" si="20"/>
        <v>0</v>
      </c>
      <c r="F82" s="38">
        <f t="shared" si="21"/>
        <v>0</v>
      </c>
      <c r="G82" s="9">
        <v>0</v>
      </c>
      <c r="H82" s="9">
        <f t="shared" si="22"/>
        <v>0</v>
      </c>
      <c r="I82" s="10">
        <v>0</v>
      </c>
      <c r="J82" s="10">
        <f t="shared" si="23"/>
        <v>0</v>
      </c>
      <c r="K82" s="9">
        <v>0</v>
      </c>
      <c r="L82" s="9">
        <f t="shared" si="24"/>
        <v>0</v>
      </c>
      <c r="M82" s="10">
        <v>0</v>
      </c>
      <c r="N82" s="10">
        <f t="shared" si="25"/>
        <v>0</v>
      </c>
      <c r="O82" s="9">
        <v>0</v>
      </c>
      <c r="P82" s="9">
        <f t="shared" si="26"/>
        <v>0</v>
      </c>
      <c r="Q82" s="12">
        <v>0</v>
      </c>
      <c r="R82" s="11">
        <f t="shared" si="27"/>
        <v>0</v>
      </c>
      <c r="S82" s="9">
        <v>0</v>
      </c>
      <c r="T82" s="9">
        <f t="shared" si="28"/>
        <v>0</v>
      </c>
      <c r="U82" s="12">
        <v>0</v>
      </c>
      <c r="V82" s="12">
        <f t="shared" si="29"/>
        <v>0</v>
      </c>
      <c r="W82" s="40"/>
      <c r="Y82" s="22"/>
      <c r="Z82" s="23"/>
      <c r="AA82" s="23"/>
      <c r="AB82" s="22"/>
    </row>
    <row r="83" spans="2:28">
      <c r="E83" s="40">
        <f>SUM(E69:E82)</f>
        <v>3.3899999999999997</v>
      </c>
      <c r="G83" s="14"/>
      <c r="H83" s="15">
        <f>SUM(H69:H82)</f>
        <v>0.19924</v>
      </c>
      <c r="I83" s="15"/>
      <c r="J83" s="15">
        <f>SUM(J69:J82)</f>
        <v>1.1292E-2</v>
      </c>
      <c r="K83" s="15"/>
      <c r="L83" s="15">
        <f>SUM(L69:L82)</f>
        <v>4.0670999999999999E-2</v>
      </c>
      <c r="M83" s="15"/>
      <c r="N83" s="15">
        <f>SUM(N69:N82)</f>
        <v>0.16116</v>
      </c>
      <c r="O83" s="15"/>
      <c r="P83" s="15">
        <f>SUM(P69:P82)</f>
        <v>0</v>
      </c>
      <c r="Q83" s="15"/>
      <c r="R83" s="15">
        <f>SUM(R69:R82)</f>
        <v>0</v>
      </c>
      <c r="S83" s="15"/>
      <c r="T83" s="15">
        <f>SUM(T69:T82)</f>
        <v>1.1339999999999999E-2</v>
      </c>
      <c r="U83" s="15"/>
      <c r="V83" s="15">
        <f>SUM(V69:V82)</f>
        <v>0</v>
      </c>
      <c r="W83" s="15"/>
      <c r="Y83" s="13"/>
    </row>
    <row r="84" spans="2:28">
      <c r="B84" s="78" t="s">
        <v>124</v>
      </c>
      <c r="C84" s="78"/>
      <c r="D84" s="78"/>
      <c r="E84" s="93">
        <v>30370663</v>
      </c>
      <c r="F84" s="93"/>
      <c r="G84" s="93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Y84" s="13"/>
    </row>
    <row r="85" spans="2:28">
      <c r="B85" s="16"/>
      <c r="C85" s="16"/>
      <c r="D85" s="16"/>
      <c r="G85" s="14"/>
      <c r="H85" s="14"/>
      <c r="I85" s="14"/>
      <c r="J85" s="14"/>
      <c r="K85" s="84" t="s">
        <v>57</v>
      </c>
      <c r="L85" s="84"/>
      <c r="M85" s="84"/>
      <c r="N85" s="17">
        <v>1093.5</v>
      </c>
      <c r="O85" s="85">
        <v>45747</v>
      </c>
      <c r="P85" s="85"/>
      <c r="Q85" s="14"/>
      <c r="R85" s="14"/>
      <c r="S85" s="14"/>
      <c r="T85" s="14"/>
      <c r="U85" s="14"/>
      <c r="V85" s="14"/>
      <c r="W85" s="14"/>
      <c r="Y85" s="18"/>
    </row>
    <row r="86" spans="2:28">
      <c r="B86" s="19" t="s">
        <v>58</v>
      </c>
      <c r="C86" s="19"/>
      <c r="F86" s="67">
        <f>SUM(E69:E76)/8</f>
        <v>0.42374999999999996</v>
      </c>
      <c r="G86" s="67"/>
      <c r="H86" s="20"/>
      <c r="I86" s="20"/>
      <c r="Y86" s="21"/>
    </row>
    <row r="87" spans="2:28">
      <c r="B87" s="19" t="s">
        <v>59</v>
      </c>
      <c r="F87" s="67">
        <f>SUM(F69:F76)</f>
        <v>0.42370299999999994</v>
      </c>
      <c r="G87" s="67"/>
      <c r="I87" s="68">
        <f>E84*F87</f>
        <v>12868141.025088998</v>
      </c>
      <c r="J87" s="68"/>
      <c r="K87" s="68"/>
      <c r="M87" s="69">
        <f>I87/N85</f>
        <v>11767.847302321899</v>
      </c>
      <c r="N87" s="69"/>
      <c r="O87" s="69"/>
    </row>
    <row r="88" spans="2:28"/>
    <row r="89" spans="2:28">
      <c r="B89" s="78" t="s">
        <v>60</v>
      </c>
      <c r="C89" s="78"/>
      <c r="D89" s="78"/>
      <c r="F89" s="79">
        <f>1-F86</f>
        <v>0.57625000000000004</v>
      </c>
      <c r="G89" s="79"/>
    </row>
    <row r="90" spans="2:28">
      <c r="B90" s="78" t="s">
        <v>61</v>
      </c>
      <c r="C90" s="78"/>
      <c r="D90" s="78"/>
      <c r="F90" s="79">
        <f>1-F87</f>
        <v>0.57629700000000006</v>
      </c>
      <c r="G90" s="79"/>
      <c r="I90" s="80">
        <f>E84*F90</f>
        <v>17502521.974911001</v>
      </c>
      <c r="J90" s="80"/>
      <c r="K90" s="80"/>
      <c r="M90" s="81">
        <f>I90/N85</f>
        <v>16005.964311761318</v>
      </c>
      <c r="N90" s="81"/>
      <c r="O90" s="81"/>
    </row>
    <row r="91" spans="2:28"/>
    <row r="92" spans="2:28" ht="14.45" customHeight="1">
      <c r="B92" s="16" t="s">
        <v>62</v>
      </c>
      <c r="C92" s="16"/>
      <c r="D92" s="16"/>
      <c r="F92" s="62">
        <f>(8-(E83-E69-E71))/8</f>
        <v>0.60750000000000004</v>
      </c>
      <c r="G92" s="62"/>
      <c r="I92" s="63">
        <f>I90*F92</f>
        <v>10632782.099758433</v>
      </c>
      <c r="J92" s="63"/>
      <c r="K92" s="63"/>
      <c r="M92" s="64">
        <f>M90*F92</f>
        <v>9723.6233193950011</v>
      </c>
      <c r="N92" s="64"/>
      <c r="O92" s="64"/>
      <c r="P92" s="65" t="s">
        <v>63</v>
      </c>
      <c r="Q92" s="65"/>
      <c r="R92" s="65"/>
      <c r="S92" s="65"/>
      <c r="T92" s="65"/>
    </row>
    <row r="93" spans="2:28" ht="14.45" customHeight="1">
      <c r="B93" s="16" t="s">
        <v>64</v>
      </c>
      <c r="F93" s="66"/>
      <c r="G93" s="66"/>
      <c r="I93" s="63">
        <f>I90-I92</f>
        <v>6869739.8751525674</v>
      </c>
      <c r="J93" s="63"/>
      <c r="K93" s="63"/>
      <c r="M93" s="64">
        <f>M90-M92</f>
        <v>6282.3409923663166</v>
      </c>
      <c r="N93" s="64"/>
      <c r="O93" s="64"/>
      <c r="P93" s="65"/>
      <c r="Q93" s="65"/>
      <c r="R93" s="65"/>
      <c r="S93" s="65"/>
      <c r="T93" s="65"/>
    </row>
    <row r="95" spans="2:28">
      <c r="G95" s="72">
        <f>$E$114*H113</f>
        <v>5270006.4514079997</v>
      </c>
      <c r="H95" s="73"/>
      <c r="I95" s="72">
        <f>$E$114*J113</f>
        <v>993605.65257600008</v>
      </c>
      <c r="J95" s="73"/>
      <c r="K95" s="72">
        <f>$E$114*L113</f>
        <v>2162553.4791359999</v>
      </c>
      <c r="L95" s="73"/>
      <c r="M95" s="72">
        <f>$E$114*N113</f>
        <v>3109888.2802440003</v>
      </c>
      <c r="N95" s="73"/>
      <c r="O95" s="72">
        <f>$E$114*P113</f>
        <v>297107.57258400001</v>
      </c>
      <c r="P95" s="73"/>
      <c r="Q95" s="72">
        <f>$E$114*R113</f>
        <v>148553.786292</v>
      </c>
      <c r="R95" s="73"/>
      <c r="S95" s="72">
        <f>$E$114*T113</f>
        <v>0</v>
      </c>
      <c r="T95" s="73"/>
      <c r="U95" s="72">
        <f>$E$114*V113</f>
        <v>0</v>
      </c>
      <c r="V95" s="73"/>
      <c r="W95" s="2"/>
    </row>
    <row r="96" spans="2:28">
      <c r="D96" s="86" t="s">
        <v>2</v>
      </c>
      <c r="E96" s="86" t="s">
        <v>3</v>
      </c>
      <c r="F96" s="87" t="s">
        <v>4</v>
      </c>
      <c r="G96" s="88" t="s">
        <v>5</v>
      </c>
      <c r="H96" s="88"/>
      <c r="I96" s="74" t="s">
        <v>6</v>
      </c>
      <c r="J96" s="74"/>
      <c r="K96" s="74" t="s">
        <v>7</v>
      </c>
      <c r="L96" s="74"/>
      <c r="M96" s="74" t="s">
        <v>8</v>
      </c>
      <c r="N96" s="74"/>
      <c r="O96" s="74" t="s">
        <v>9</v>
      </c>
      <c r="P96" s="74"/>
      <c r="Q96" s="74" t="s">
        <v>10</v>
      </c>
      <c r="R96" s="74"/>
      <c r="S96" s="75" t="s">
        <v>11</v>
      </c>
      <c r="T96" s="75"/>
      <c r="U96" s="75" t="s">
        <v>12</v>
      </c>
      <c r="V96" s="75"/>
      <c r="W96" s="55"/>
    </row>
    <row r="97" spans="2:30">
      <c r="D97" s="86"/>
      <c r="E97" s="86"/>
      <c r="F97" s="87"/>
      <c r="G97" s="76" t="s">
        <v>13</v>
      </c>
      <c r="H97" s="76" t="s">
        <v>14</v>
      </c>
      <c r="I97" s="70" t="s">
        <v>13</v>
      </c>
      <c r="J97" s="70" t="s">
        <v>14</v>
      </c>
      <c r="K97" s="76" t="s">
        <v>13</v>
      </c>
      <c r="L97" s="76" t="s">
        <v>14</v>
      </c>
      <c r="M97" s="70" t="s">
        <v>13</v>
      </c>
      <c r="N97" s="70" t="s">
        <v>14</v>
      </c>
      <c r="O97" s="76" t="s">
        <v>13</v>
      </c>
      <c r="P97" s="76" t="s">
        <v>14</v>
      </c>
      <c r="Q97" s="70" t="s">
        <v>13</v>
      </c>
      <c r="R97" s="70" t="s">
        <v>14</v>
      </c>
      <c r="S97" s="76" t="s">
        <v>13</v>
      </c>
      <c r="T97" s="76" t="s">
        <v>14</v>
      </c>
      <c r="U97" s="70" t="s">
        <v>13</v>
      </c>
      <c r="V97" s="70" t="s">
        <v>14</v>
      </c>
      <c r="W97" s="56"/>
    </row>
    <row r="98" spans="2:30" ht="60.75" customHeight="1">
      <c r="D98" s="86"/>
      <c r="E98" s="86"/>
      <c r="F98" s="87"/>
      <c r="G98" s="77"/>
      <c r="H98" s="77"/>
      <c r="I98" s="71"/>
      <c r="J98" s="71"/>
      <c r="K98" s="77"/>
      <c r="L98" s="77"/>
      <c r="M98" s="71"/>
      <c r="N98" s="71"/>
      <c r="O98" s="77"/>
      <c r="P98" s="77"/>
      <c r="Q98" s="71"/>
      <c r="R98" s="71"/>
      <c r="S98" s="77"/>
      <c r="T98" s="77"/>
      <c r="U98" s="71"/>
      <c r="V98" s="71"/>
      <c r="W98" s="56"/>
      <c r="Y98" s="3" t="s">
        <v>125</v>
      </c>
      <c r="Z98" s="3" t="s">
        <v>126</v>
      </c>
      <c r="AA98" s="3" t="s">
        <v>127</v>
      </c>
      <c r="AB98" s="3" t="s">
        <v>128</v>
      </c>
      <c r="AC98" s="3" t="s">
        <v>129</v>
      </c>
    </row>
    <row r="99" spans="2:30" ht="14.45" customHeight="1">
      <c r="B99" s="82" t="s">
        <v>130</v>
      </c>
      <c r="C99" s="5" t="s">
        <v>20</v>
      </c>
      <c r="D99" s="41">
        <v>0.20399999999999999</v>
      </c>
      <c r="E99" s="31">
        <f>SUM(G99,I99,K99,M99,O99,Q99,S99,U99)</f>
        <v>0.2</v>
      </c>
      <c r="F99" s="38">
        <f>D99*E99</f>
        <v>4.0800000000000003E-2</v>
      </c>
      <c r="G99" s="42">
        <v>0</v>
      </c>
      <c r="H99" s="42">
        <v>0</v>
      </c>
      <c r="I99" s="43">
        <v>0.2</v>
      </c>
      <c r="J99" s="43">
        <v>0.04</v>
      </c>
      <c r="K99" s="42">
        <v>0</v>
      </c>
      <c r="L99" s="42">
        <v>0</v>
      </c>
      <c r="M99" s="43">
        <v>0</v>
      </c>
      <c r="N99" s="43">
        <v>0</v>
      </c>
      <c r="O99" s="42">
        <v>0</v>
      </c>
      <c r="P99" s="42">
        <v>0</v>
      </c>
      <c r="Q99" s="44">
        <v>0</v>
      </c>
      <c r="R99" s="44">
        <v>0</v>
      </c>
      <c r="S99" s="42">
        <v>0</v>
      </c>
      <c r="T99" s="42">
        <v>0</v>
      </c>
      <c r="U99" s="45">
        <v>0</v>
      </c>
      <c r="V99" s="45">
        <v>0</v>
      </c>
      <c r="W99" s="57"/>
      <c r="X99" s="46"/>
      <c r="Y99" s="47" t="s">
        <v>131</v>
      </c>
      <c r="Z99" s="47" t="s">
        <v>132</v>
      </c>
      <c r="AA99" s="47" t="s">
        <v>133</v>
      </c>
      <c r="AB99" s="47" t="s">
        <v>134</v>
      </c>
      <c r="AC99" s="47"/>
      <c r="AD99" s="46"/>
    </row>
    <row r="100" spans="2:30">
      <c r="B100" s="82"/>
      <c r="C100" s="5" t="s">
        <v>25</v>
      </c>
      <c r="D100" s="41">
        <v>0.14510000000000001</v>
      </c>
      <c r="E100" s="31">
        <f t="shared" ref="E100:E112" si="30">SUM(G100,I100,K100,M100,O100,Q100,S100,U100)</f>
        <v>0.65</v>
      </c>
      <c r="F100" s="38">
        <f t="shared" ref="F100:F112" si="31">D100*E100</f>
        <v>9.431500000000001E-2</v>
      </c>
      <c r="G100" s="42">
        <v>0.45</v>
      </c>
      <c r="H100" s="42">
        <v>7.0000000000000007E-2</v>
      </c>
      <c r="I100" s="43">
        <v>0</v>
      </c>
      <c r="J100" s="43">
        <v>0</v>
      </c>
      <c r="K100" s="42">
        <v>0</v>
      </c>
      <c r="L100" s="42">
        <v>0</v>
      </c>
      <c r="M100" s="43">
        <v>0.2</v>
      </c>
      <c r="N100" s="43">
        <v>0.03</v>
      </c>
      <c r="O100" s="42">
        <v>0</v>
      </c>
      <c r="P100" s="42">
        <v>0</v>
      </c>
      <c r="Q100" s="44">
        <v>0</v>
      </c>
      <c r="R100" s="44">
        <v>0</v>
      </c>
      <c r="S100" s="42">
        <v>0</v>
      </c>
      <c r="T100" s="42">
        <v>0</v>
      </c>
      <c r="U100" s="45">
        <v>0</v>
      </c>
      <c r="V100" s="45">
        <v>0</v>
      </c>
      <c r="W100" s="57"/>
      <c r="X100" s="46"/>
      <c r="Y100" s="47" t="s">
        <v>135</v>
      </c>
      <c r="Z100" s="47" t="s">
        <v>136</v>
      </c>
      <c r="AA100" s="47" t="s">
        <v>137</v>
      </c>
      <c r="AB100" s="47" t="s">
        <v>138</v>
      </c>
      <c r="AC100" s="47" t="s">
        <v>139</v>
      </c>
      <c r="AD100" s="46"/>
    </row>
    <row r="101" spans="2:30">
      <c r="B101" s="82"/>
      <c r="C101" s="5" t="s">
        <v>30</v>
      </c>
      <c r="D101" s="41">
        <v>0.1158</v>
      </c>
      <c r="E101" s="31">
        <f t="shared" si="30"/>
        <v>0</v>
      </c>
      <c r="F101" s="38">
        <f t="shared" si="31"/>
        <v>0</v>
      </c>
      <c r="G101" s="42">
        <v>0</v>
      </c>
      <c r="H101" s="42">
        <v>0</v>
      </c>
      <c r="I101" s="43">
        <v>0</v>
      </c>
      <c r="J101" s="43">
        <v>0</v>
      </c>
      <c r="K101" s="42">
        <v>0</v>
      </c>
      <c r="L101" s="42">
        <v>0</v>
      </c>
      <c r="M101" s="43">
        <v>0</v>
      </c>
      <c r="N101" s="43">
        <v>0</v>
      </c>
      <c r="O101" s="42">
        <v>0</v>
      </c>
      <c r="P101" s="42">
        <v>0</v>
      </c>
      <c r="Q101" s="44">
        <v>0</v>
      </c>
      <c r="R101" s="44">
        <v>0</v>
      </c>
      <c r="S101" s="42">
        <v>0</v>
      </c>
      <c r="T101" s="42">
        <v>0</v>
      </c>
      <c r="U101" s="45">
        <v>0</v>
      </c>
      <c r="V101" s="45">
        <v>0</v>
      </c>
      <c r="W101" s="57"/>
      <c r="X101" s="46"/>
      <c r="Y101" s="47" t="s">
        <v>106</v>
      </c>
      <c r="Z101" s="47" t="s">
        <v>106</v>
      </c>
      <c r="AA101" s="47" t="s">
        <v>106</v>
      </c>
      <c r="AB101" s="47" t="s">
        <v>106</v>
      </c>
      <c r="AC101" s="47" t="s">
        <v>106</v>
      </c>
      <c r="AD101" s="46"/>
    </row>
    <row r="102" spans="2:30">
      <c r="B102" s="82"/>
      <c r="C102" s="5" t="s">
        <v>32</v>
      </c>
      <c r="D102" s="41">
        <v>0.1366</v>
      </c>
      <c r="E102" s="31">
        <f t="shared" si="30"/>
        <v>0.65</v>
      </c>
      <c r="F102" s="38">
        <f>D102*E102</f>
        <v>8.8790000000000008E-2</v>
      </c>
      <c r="G102" s="42">
        <v>0</v>
      </c>
      <c r="H102" s="42">
        <v>0</v>
      </c>
      <c r="I102" s="43">
        <v>0</v>
      </c>
      <c r="J102" s="43">
        <v>0</v>
      </c>
      <c r="K102" s="42">
        <v>0.65</v>
      </c>
      <c r="L102" s="42">
        <v>0.09</v>
      </c>
      <c r="M102" s="43">
        <v>0</v>
      </c>
      <c r="N102" s="43">
        <v>0</v>
      </c>
      <c r="O102" s="42">
        <v>0</v>
      </c>
      <c r="P102" s="42">
        <v>0</v>
      </c>
      <c r="Q102" s="44">
        <v>0</v>
      </c>
      <c r="R102" s="44">
        <v>0</v>
      </c>
      <c r="S102" s="42">
        <v>0</v>
      </c>
      <c r="T102" s="42">
        <v>0</v>
      </c>
      <c r="U102" s="45">
        <v>0</v>
      </c>
      <c r="V102" s="45">
        <v>0</v>
      </c>
      <c r="W102" s="57"/>
      <c r="X102" s="46"/>
      <c r="Y102" s="47" t="s">
        <v>117</v>
      </c>
      <c r="Z102" s="47" t="s">
        <v>140</v>
      </c>
      <c r="AA102" s="47" t="s">
        <v>141</v>
      </c>
      <c r="AB102" s="47" t="s">
        <v>142</v>
      </c>
      <c r="AC102" s="47" t="s">
        <v>143</v>
      </c>
      <c r="AD102" s="46"/>
    </row>
    <row r="103" spans="2:30">
      <c r="B103" s="82"/>
      <c r="C103" s="29" t="s">
        <v>37</v>
      </c>
      <c r="D103" s="41">
        <v>0.14949999999999999</v>
      </c>
      <c r="E103" s="31">
        <f t="shared" si="30"/>
        <v>0.76</v>
      </c>
      <c r="F103" s="38">
        <f t="shared" si="31"/>
        <v>0.11362</v>
      </c>
      <c r="G103" s="42">
        <v>0.1</v>
      </c>
      <c r="H103" s="42">
        <v>0.01</v>
      </c>
      <c r="I103" s="43">
        <v>0</v>
      </c>
      <c r="J103" s="43">
        <v>0</v>
      </c>
      <c r="K103" s="42">
        <v>0</v>
      </c>
      <c r="L103" s="42">
        <v>0</v>
      </c>
      <c r="M103" s="43">
        <v>0.66</v>
      </c>
      <c r="N103" s="43">
        <v>0.1</v>
      </c>
      <c r="O103" s="42">
        <v>0</v>
      </c>
      <c r="P103" s="42">
        <v>0</v>
      </c>
      <c r="Q103" s="44">
        <v>0</v>
      </c>
      <c r="R103" s="44">
        <v>0</v>
      </c>
      <c r="S103" s="42">
        <v>0</v>
      </c>
      <c r="T103" s="42">
        <v>0</v>
      </c>
      <c r="U103" s="45">
        <v>0</v>
      </c>
      <c r="V103" s="45">
        <v>0</v>
      </c>
      <c r="W103" s="57"/>
      <c r="X103" s="46"/>
      <c r="Y103" s="47" t="s">
        <v>144</v>
      </c>
      <c r="Z103" s="47" t="s">
        <v>145</v>
      </c>
      <c r="AA103" s="47" t="s">
        <v>146</v>
      </c>
      <c r="AB103" s="47" t="s">
        <v>147</v>
      </c>
      <c r="AC103" s="47" t="s">
        <v>148</v>
      </c>
      <c r="AD103" s="46"/>
    </row>
    <row r="104" spans="2:30">
      <c r="B104" s="82"/>
      <c r="C104" s="5" t="s">
        <v>41</v>
      </c>
      <c r="D104" s="41">
        <v>0.1217</v>
      </c>
      <c r="E104" s="31">
        <f t="shared" si="30"/>
        <v>0.85</v>
      </c>
      <c r="F104" s="38">
        <f t="shared" si="31"/>
        <v>0.103445</v>
      </c>
      <c r="G104" s="42">
        <v>0.7</v>
      </c>
      <c r="H104" s="42">
        <v>0.09</v>
      </c>
      <c r="I104" s="43">
        <v>0</v>
      </c>
      <c r="J104" s="43">
        <v>0</v>
      </c>
      <c r="K104" s="42">
        <v>0</v>
      </c>
      <c r="L104" s="42">
        <v>0</v>
      </c>
      <c r="M104" s="43">
        <v>0</v>
      </c>
      <c r="N104" s="43">
        <v>0</v>
      </c>
      <c r="O104" s="42">
        <v>0.1</v>
      </c>
      <c r="P104" s="42">
        <v>0.01</v>
      </c>
      <c r="Q104" s="45">
        <v>0.05</v>
      </c>
      <c r="R104" s="44">
        <v>0.01</v>
      </c>
      <c r="S104" s="42">
        <v>0</v>
      </c>
      <c r="T104" s="42">
        <v>0</v>
      </c>
      <c r="U104" s="45">
        <v>0</v>
      </c>
      <c r="V104" s="45">
        <v>0</v>
      </c>
      <c r="W104" s="57"/>
      <c r="X104" s="46"/>
      <c r="Y104" s="47" t="s">
        <v>149</v>
      </c>
      <c r="Z104" s="47" t="s">
        <v>150</v>
      </c>
      <c r="AA104" s="47" t="s">
        <v>151</v>
      </c>
      <c r="AB104" s="47" t="s">
        <v>152</v>
      </c>
      <c r="AC104" s="47" t="s">
        <v>153</v>
      </c>
      <c r="AD104" s="46"/>
    </row>
    <row r="105" spans="2:30">
      <c r="B105" s="82"/>
      <c r="C105" s="5" t="s">
        <v>46</v>
      </c>
      <c r="D105" s="41">
        <v>0.1273</v>
      </c>
      <c r="E105" s="31">
        <f t="shared" si="30"/>
        <v>0.4</v>
      </c>
      <c r="F105" s="38">
        <f t="shared" si="31"/>
        <v>5.092E-2</v>
      </c>
      <c r="G105" s="42">
        <v>0.4</v>
      </c>
      <c r="H105" s="42">
        <v>0.05</v>
      </c>
      <c r="I105" s="43">
        <v>0</v>
      </c>
      <c r="J105" s="43">
        <v>0</v>
      </c>
      <c r="K105" s="42">
        <v>0</v>
      </c>
      <c r="L105" s="42">
        <v>0</v>
      </c>
      <c r="M105" s="43">
        <v>0</v>
      </c>
      <c r="N105" s="43">
        <v>0</v>
      </c>
      <c r="O105" s="42">
        <v>0</v>
      </c>
      <c r="P105" s="42">
        <v>0</v>
      </c>
      <c r="Q105" s="45">
        <v>0</v>
      </c>
      <c r="R105" s="44">
        <v>0</v>
      </c>
      <c r="S105" s="42">
        <v>0</v>
      </c>
      <c r="T105" s="42">
        <v>0</v>
      </c>
      <c r="U105" s="45">
        <v>0</v>
      </c>
      <c r="V105" s="45">
        <v>0</v>
      </c>
      <c r="W105" s="57"/>
      <c r="X105" s="46"/>
      <c r="Y105" s="47" t="s">
        <v>154</v>
      </c>
      <c r="Z105" s="47" t="s">
        <v>154</v>
      </c>
      <c r="AA105" s="47" t="s">
        <v>155</v>
      </c>
      <c r="AB105" s="47" t="s">
        <v>156</v>
      </c>
      <c r="AC105" s="47" t="s">
        <v>157</v>
      </c>
      <c r="AD105" s="46"/>
    </row>
    <row r="106" spans="2:30">
      <c r="B106" s="82"/>
      <c r="C106" s="5" t="s">
        <v>51</v>
      </c>
      <c r="D106" s="41">
        <v>0</v>
      </c>
      <c r="E106" s="31">
        <f t="shared" si="30"/>
        <v>0</v>
      </c>
      <c r="F106" s="38">
        <f t="shared" si="31"/>
        <v>0</v>
      </c>
      <c r="G106" s="42">
        <v>0</v>
      </c>
      <c r="H106" s="42">
        <v>0</v>
      </c>
      <c r="I106" s="43">
        <v>0</v>
      </c>
      <c r="J106" s="43">
        <v>0</v>
      </c>
      <c r="K106" s="42">
        <v>0</v>
      </c>
      <c r="L106" s="42">
        <v>0</v>
      </c>
      <c r="M106" s="43">
        <v>0</v>
      </c>
      <c r="N106" s="43">
        <v>0</v>
      </c>
      <c r="O106" s="42">
        <v>0</v>
      </c>
      <c r="P106" s="42">
        <v>0</v>
      </c>
      <c r="Q106" s="45">
        <v>0</v>
      </c>
      <c r="R106" s="44">
        <v>0</v>
      </c>
      <c r="S106" s="42">
        <v>0</v>
      </c>
      <c r="T106" s="42">
        <v>0</v>
      </c>
      <c r="U106" s="45">
        <v>0</v>
      </c>
      <c r="V106" s="45">
        <v>0</v>
      </c>
      <c r="W106" s="57"/>
      <c r="X106" s="46"/>
      <c r="Y106" s="47"/>
      <c r="Z106" s="47"/>
      <c r="AA106" s="47"/>
      <c r="AB106" s="47"/>
      <c r="AC106" s="47"/>
      <c r="AD106" s="46"/>
    </row>
    <row r="107" spans="2:30">
      <c r="B107" s="82"/>
      <c r="C107" s="5" t="s">
        <v>55</v>
      </c>
      <c r="D107" s="41">
        <v>0</v>
      </c>
      <c r="E107" s="31">
        <f t="shared" si="30"/>
        <v>0</v>
      </c>
      <c r="F107" s="38">
        <f t="shared" si="31"/>
        <v>0</v>
      </c>
      <c r="G107" s="42">
        <v>0</v>
      </c>
      <c r="H107" s="42">
        <v>0</v>
      </c>
      <c r="I107" s="43">
        <v>0</v>
      </c>
      <c r="J107" s="43">
        <v>0</v>
      </c>
      <c r="K107" s="42">
        <v>0</v>
      </c>
      <c r="L107" s="42">
        <v>0</v>
      </c>
      <c r="M107" s="43">
        <v>0</v>
      </c>
      <c r="N107" s="43">
        <v>0</v>
      </c>
      <c r="O107" s="42">
        <v>0</v>
      </c>
      <c r="P107" s="42">
        <v>0</v>
      </c>
      <c r="Q107" s="45">
        <v>0</v>
      </c>
      <c r="R107" s="44">
        <v>0</v>
      </c>
      <c r="S107" s="42">
        <v>0</v>
      </c>
      <c r="T107" s="42">
        <v>0</v>
      </c>
      <c r="U107" s="45">
        <v>0</v>
      </c>
      <c r="V107" s="45">
        <v>0</v>
      </c>
      <c r="W107" s="57"/>
      <c r="X107" s="46"/>
      <c r="Y107" s="47"/>
      <c r="Z107" s="47"/>
      <c r="AA107" s="47"/>
      <c r="AB107" s="47"/>
      <c r="AC107" s="47"/>
      <c r="AD107" s="46"/>
    </row>
    <row r="108" spans="2:30">
      <c r="B108" s="82"/>
      <c r="C108" s="5" t="s">
        <v>55</v>
      </c>
      <c r="D108" s="41">
        <v>0</v>
      </c>
      <c r="E108" s="31">
        <f t="shared" si="30"/>
        <v>0</v>
      </c>
      <c r="F108" s="38">
        <f t="shared" si="31"/>
        <v>0</v>
      </c>
      <c r="G108" s="42">
        <v>0</v>
      </c>
      <c r="H108" s="42">
        <v>0</v>
      </c>
      <c r="I108" s="43">
        <v>0</v>
      </c>
      <c r="J108" s="43">
        <v>0</v>
      </c>
      <c r="K108" s="42">
        <v>0</v>
      </c>
      <c r="L108" s="42">
        <v>0</v>
      </c>
      <c r="M108" s="43">
        <v>0</v>
      </c>
      <c r="N108" s="43">
        <v>0</v>
      </c>
      <c r="O108" s="42">
        <v>0</v>
      </c>
      <c r="P108" s="42">
        <v>0</v>
      </c>
      <c r="Q108" s="45">
        <v>0</v>
      </c>
      <c r="R108" s="44">
        <v>0</v>
      </c>
      <c r="S108" s="42">
        <v>0</v>
      </c>
      <c r="T108" s="42">
        <v>0</v>
      </c>
      <c r="U108" s="45">
        <v>0</v>
      </c>
      <c r="V108" s="45">
        <v>0</v>
      </c>
      <c r="W108" s="57"/>
      <c r="X108" s="46"/>
      <c r="Y108" s="47"/>
      <c r="Z108" s="47"/>
      <c r="AA108" s="47"/>
      <c r="AB108" s="47"/>
      <c r="AC108" s="47"/>
      <c r="AD108" s="46"/>
    </row>
    <row r="109" spans="2:30">
      <c r="B109" s="82"/>
      <c r="C109" s="5" t="s">
        <v>55</v>
      </c>
      <c r="D109" s="41">
        <v>0</v>
      </c>
      <c r="E109" s="31">
        <f t="shared" si="30"/>
        <v>0</v>
      </c>
      <c r="F109" s="38">
        <f t="shared" si="31"/>
        <v>0</v>
      </c>
      <c r="G109" s="42">
        <v>0</v>
      </c>
      <c r="H109" s="42">
        <v>0</v>
      </c>
      <c r="I109" s="43">
        <v>0</v>
      </c>
      <c r="J109" s="43">
        <v>0</v>
      </c>
      <c r="K109" s="42">
        <v>0</v>
      </c>
      <c r="L109" s="42">
        <v>0</v>
      </c>
      <c r="M109" s="43">
        <v>0</v>
      </c>
      <c r="N109" s="43">
        <v>0</v>
      </c>
      <c r="O109" s="42">
        <v>0</v>
      </c>
      <c r="P109" s="42">
        <v>0</v>
      </c>
      <c r="Q109" s="45">
        <v>0</v>
      </c>
      <c r="R109" s="44">
        <v>0</v>
      </c>
      <c r="S109" s="42">
        <v>0</v>
      </c>
      <c r="T109" s="42">
        <v>0</v>
      </c>
      <c r="U109" s="45">
        <v>0</v>
      </c>
      <c r="V109" s="45">
        <v>0</v>
      </c>
      <c r="W109" s="57"/>
      <c r="X109" s="46"/>
      <c r="Y109" s="47"/>
      <c r="Z109" s="47"/>
      <c r="AA109" s="47"/>
      <c r="AB109" s="47"/>
      <c r="AC109" s="47"/>
      <c r="AD109" s="46"/>
    </row>
    <row r="110" spans="2:30">
      <c r="B110" s="82"/>
      <c r="C110" s="5" t="s">
        <v>55</v>
      </c>
      <c r="D110" s="41">
        <v>0</v>
      </c>
      <c r="E110" s="31">
        <f t="shared" si="30"/>
        <v>0</v>
      </c>
      <c r="F110" s="38">
        <f t="shared" si="31"/>
        <v>0</v>
      </c>
      <c r="G110" s="42">
        <v>0</v>
      </c>
      <c r="H110" s="42">
        <v>0</v>
      </c>
      <c r="I110" s="43">
        <v>0</v>
      </c>
      <c r="J110" s="43">
        <v>0</v>
      </c>
      <c r="K110" s="42">
        <v>0</v>
      </c>
      <c r="L110" s="42">
        <v>0</v>
      </c>
      <c r="M110" s="43">
        <v>0</v>
      </c>
      <c r="N110" s="43">
        <v>0</v>
      </c>
      <c r="O110" s="42">
        <v>0</v>
      </c>
      <c r="P110" s="42">
        <v>0</v>
      </c>
      <c r="Q110" s="45">
        <v>0</v>
      </c>
      <c r="R110" s="44">
        <v>0</v>
      </c>
      <c r="S110" s="42">
        <v>0</v>
      </c>
      <c r="T110" s="42">
        <v>0</v>
      </c>
      <c r="U110" s="45">
        <v>0</v>
      </c>
      <c r="V110" s="45">
        <v>0</v>
      </c>
      <c r="W110" s="57"/>
      <c r="X110" s="46"/>
      <c r="Y110" s="47"/>
      <c r="Z110" s="47"/>
      <c r="AA110" s="47"/>
      <c r="AB110" s="47"/>
      <c r="AC110" s="47"/>
      <c r="AD110" s="46"/>
    </row>
    <row r="111" spans="2:30">
      <c r="B111" s="82"/>
      <c r="C111" s="5" t="s">
        <v>55</v>
      </c>
      <c r="D111" s="41">
        <v>0</v>
      </c>
      <c r="E111" s="31">
        <f t="shared" si="30"/>
        <v>0</v>
      </c>
      <c r="F111" s="38">
        <f t="shared" si="31"/>
        <v>0</v>
      </c>
      <c r="G111" s="42">
        <v>0</v>
      </c>
      <c r="H111" s="42">
        <v>0</v>
      </c>
      <c r="I111" s="43">
        <v>0</v>
      </c>
      <c r="J111" s="43">
        <v>0</v>
      </c>
      <c r="K111" s="42">
        <v>0</v>
      </c>
      <c r="L111" s="42">
        <v>0</v>
      </c>
      <c r="M111" s="43">
        <v>0</v>
      </c>
      <c r="N111" s="43">
        <v>0</v>
      </c>
      <c r="O111" s="42">
        <v>0</v>
      </c>
      <c r="P111" s="42">
        <v>0</v>
      </c>
      <c r="Q111" s="45">
        <v>0</v>
      </c>
      <c r="R111" s="44">
        <v>0</v>
      </c>
      <c r="S111" s="42">
        <v>0</v>
      </c>
      <c r="T111" s="42">
        <v>0</v>
      </c>
      <c r="U111" s="45">
        <v>0</v>
      </c>
      <c r="V111" s="45">
        <v>0</v>
      </c>
      <c r="W111" s="57"/>
      <c r="X111" s="46"/>
      <c r="Y111" s="47"/>
      <c r="Z111" s="47"/>
      <c r="AA111" s="47"/>
      <c r="AB111" s="47"/>
      <c r="AC111" s="47"/>
      <c r="AD111" s="46"/>
    </row>
    <row r="112" spans="2:30">
      <c r="B112" s="82"/>
      <c r="C112" s="5" t="s">
        <v>55</v>
      </c>
      <c r="D112" s="41">
        <v>0</v>
      </c>
      <c r="E112" s="31">
        <f t="shared" si="30"/>
        <v>0</v>
      </c>
      <c r="F112" s="38">
        <f t="shared" si="31"/>
        <v>0</v>
      </c>
      <c r="G112" s="42">
        <v>0</v>
      </c>
      <c r="H112" s="42">
        <v>0</v>
      </c>
      <c r="I112" s="43">
        <v>0</v>
      </c>
      <c r="J112" s="43">
        <v>0</v>
      </c>
      <c r="K112" s="42">
        <v>0</v>
      </c>
      <c r="L112" s="42">
        <v>0</v>
      </c>
      <c r="M112" s="43">
        <v>0</v>
      </c>
      <c r="N112" s="43">
        <v>0</v>
      </c>
      <c r="O112" s="42">
        <v>0</v>
      </c>
      <c r="P112" s="42">
        <v>0</v>
      </c>
      <c r="Q112" s="45">
        <v>0</v>
      </c>
      <c r="R112" s="44">
        <v>0</v>
      </c>
      <c r="S112" s="42">
        <v>0</v>
      </c>
      <c r="T112" s="42">
        <v>0</v>
      </c>
      <c r="U112" s="45">
        <v>0</v>
      </c>
      <c r="V112" s="45">
        <v>0</v>
      </c>
      <c r="W112" s="57"/>
      <c r="X112" s="46"/>
      <c r="Y112" s="47"/>
      <c r="Z112" s="47"/>
      <c r="AA112" s="47"/>
      <c r="AB112" s="47"/>
      <c r="AC112" s="47"/>
      <c r="AD112" s="46"/>
    </row>
    <row r="113" spans="2:30">
      <c r="D113" s="46"/>
      <c r="E113" s="40">
        <f>SUM(E99:E112)</f>
        <v>3.51</v>
      </c>
      <c r="F113" s="46"/>
      <c r="G113" s="48"/>
      <c r="H113" s="49">
        <v>0.21640000000000001</v>
      </c>
      <c r="I113" s="48"/>
      <c r="J113" s="49">
        <v>4.0800000000000003E-2</v>
      </c>
      <c r="K113" s="48"/>
      <c r="L113" s="49">
        <v>8.8800000000000004E-2</v>
      </c>
      <c r="M113" s="48"/>
      <c r="N113" s="49">
        <v>0.12770000000000001</v>
      </c>
      <c r="O113" s="48"/>
      <c r="P113" s="49">
        <v>1.2200000000000001E-2</v>
      </c>
      <c r="Q113" s="48"/>
      <c r="R113" s="49">
        <v>6.1000000000000004E-3</v>
      </c>
      <c r="S113" s="48"/>
      <c r="T113" s="49">
        <v>0</v>
      </c>
      <c r="U113" s="48"/>
      <c r="V113" s="49">
        <v>0</v>
      </c>
      <c r="W113" s="49"/>
      <c r="X113" s="100"/>
      <c r="Y113" s="100"/>
      <c r="Z113" s="46"/>
      <c r="AA113" s="46"/>
      <c r="AB113" s="46"/>
      <c r="AC113" s="46"/>
      <c r="AD113" s="46"/>
    </row>
    <row r="114" spans="2:30">
      <c r="B114" s="78" t="s">
        <v>158</v>
      </c>
      <c r="C114" s="78"/>
      <c r="D114" s="78"/>
      <c r="E114" s="94">
        <v>24353079.719999999</v>
      </c>
      <c r="F114" s="95"/>
      <c r="G114" s="96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Y114" s="13"/>
    </row>
    <row r="115" spans="2:30">
      <c r="B115" s="16"/>
      <c r="C115" s="16"/>
      <c r="D115" s="16"/>
      <c r="G115" s="14"/>
      <c r="H115" s="14"/>
      <c r="I115" s="14"/>
      <c r="J115" s="14"/>
      <c r="K115" s="84" t="s">
        <v>57</v>
      </c>
      <c r="L115" s="84"/>
      <c r="M115" s="84"/>
      <c r="N115" s="17">
        <v>1190</v>
      </c>
      <c r="O115" s="85" t="s">
        <v>159</v>
      </c>
      <c r="P115" s="85"/>
      <c r="Q115" s="14"/>
      <c r="R115" s="14"/>
      <c r="S115" s="14"/>
      <c r="T115" s="14"/>
      <c r="U115" s="14"/>
      <c r="V115" s="14"/>
      <c r="W115" s="14"/>
      <c r="Y115" s="18"/>
    </row>
    <row r="116" spans="2:30">
      <c r="B116" s="19" t="s">
        <v>58</v>
      </c>
      <c r="C116" s="19"/>
      <c r="F116" s="67">
        <f>SUM(E99:E112)/7</f>
        <v>0.50142857142857145</v>
      </c>
      <c r="G116" s="67"/>
      <c r="H116" s="20"/>
      <c r="I116" s="20"/>
      <c r="Y116" s="21"/>
    </row>
    <row r="117" spans="2:30">
      <c r="B117" s="19" t="s">
        <v>59</v>
      </c>
      <c r="F117" s="67">
        <f>SUM(F99:F112)</f>
        <v>0.49189000000000005</v>
      </c>
      <c r="G117" s="67"/>
      <c r="I117" s="68">
        <f>E114*F117</f>
        <v>11979036.3834708</v>
      </c>
      <c r="J117" s="68"/>
      <c r="K117" s="68"/>
      <c r="M117" s="69">
        <f>I117/N115</f>
        <v>10066.417128967059</v>
      </c>
      <c r="N117" s="69"/>
      <c r="O117" s="69"/>
    </row>
    <row r="119" spans="2:30">
      <c r="B119" s="78" t="s">
        <v>60</v>
      </c>
      <c r="C119" s="78"/>
      <c r="D119" s="78"/>
      <c r="F119" s="79">
        <f>1-F116</f>
        <v>0.49857142857142855</v>
      </c>
      <c r="G119" s="79"/>
    </row>
    <row r="120" spans="2:30">
      <c r="B120" s="78" t="s">
        <v>61</v>
      </c>
      <c r="C120" s="78"/>
      <c r="D120" s="78"/>
      <c r="F120" s="79">
        <f>1-F117</f>
        <v>0.50810999999999995</v>
      </c>
      <c r="G120" s="79"/>
      <c r="I120" s="80">
        <f>E114*F120</f>
        <v>12374043.336529199</v>
      </c>
      <c r="J120" s="80"/>
      <c r="K120" s="80"/>
      <c r="M120" s="81">
        <f>I120/N115</f>
        <v>10398.35574498252</v>
      </c>
      <c r="N120" s="81"/>
      <c r="O120" s="81"/>
    </row>
    <row r="122" spans="2:30">
      <c r="B122" s="16" t="s">
        <v>62</v>
      </c>
      <c r="C122" s="16"/>
      <c r="D122" s="16"/>
      <c r="F122" s="62">
        <f>(7-(E113-E99-E101))/7</f>
        <v>0.52714285714285725</v>
      </c>
      <c r="G122" s="62"/>
      <c r="I122" s="63">
        <f>I120*F122</f>
        <v>6522888.5588275362</v>
      </c>
      <c r="J122" s="63"/>
      <c r="K122" s="63"/>
      <c r="M122" s="64">
        <f>M120*F122</f>
        <v>5481.4189569979299</v>
      </c>
      <c r="N122" s="64"/>
      <c r="O122" s="64"/>
      <c r="P122" s="65" t="s">
        <v>63</v>
      </c>
      <c r="Q122" s="65"/>
      <c r="R122" s="65"/>
      <c r="S122" s="65"/>
      <c r="T122" s="65"/>
    </row>
    <row r="123" spans="2:30">
      <c r="B123" s="16" t="s">
        <v>64</v>
      </c>
      <c r="F123" s="66"/>
      <c r="G123" s="66"/>
      <c r="I123" s="63">
        <f>I120-I122</f>
        <v>5851154.7777016629</v>
      </c>
      <c r="J123" s="63"/>
      <c r="K123" s="63"/>
      <c r="M123" s="64">
        <f>M120-M122</f>
        <v>4916.9367879845904</v>
      </c>
      <c r="N123" s="64"/>
      <c r="O123" s="64"/>
      <c r="P123" s="65"/>
      <c r="Q123" s="65"/>
      <c r="R123" s="65"/>
      <c r="S123" s="65"/>
      <c r="T123" s="65"/>
    </row>
    <row r="125" spans="2:30">
      <c r="G125" s="72">
        <f>$E$144*H143</f>
        <v>8137466.0997443981</v>
      </c>
      <c r="H125" s="73"/>
      <c r="I125" s="72">
        <f>$E$144*J143</f>
        <v>4109248.3291847995</v>
      </c>
      <c r="J125" s="73"/>
      <c r="K125" s="72">
        <f>$E$144*L143</f>
        <v>1446894.9749034001</v>
      </c>
      <c r="L125" s="73"/>
      <c r="M125" s="72">
        <f>$E$144*N143</f>
        <v>646856.95943609998</v>
      </c>
      <c r="N125" s="73"/>
      <c r="O125" s="72">
        <f>$E$144*P143</f>
        <v>384062.64773039997</v>
      </c>
      <c r="P125" s="73"/>
      <c r="Q125" s="72">
        <f>$E$144*R143</f>
        <v>0</v>
      </c>
      <c r="R125" s="73"/>
      <c r="S125" s="72">
        <f>$E$144*T143</f>
        <v>0</v>
      </c>
      <c r="T125" s="73"/>
      <c r="U125" s="72">
        <f>$E$144*V143</f>
        <v>0</v>
      </c>
      <c r="V125" s="73"/>
      <c r="W125" s="2"/>
    </row>
    <row r="126" spans="2:30">
      <c r="D126" s="86" t="s">
        <v>2</v>
      </c>
      <c r="E126" s="86" t="s">
        <v>3</v>
      </c>
      <c r="F126" s="87" t="s">
        <v>4</v>
      </c>
      <c r="G126" s="88" t="s">
        <v>5</v>
      </c>
      <c r="H126" s="88"/>
      <c r="I126" s="74" t="s">
        <v>6</v>
      </c>
      <c r="J126" s="74"/>
      <c r="K126" s="74" t="s">
        <v>7</v>
      </c>
      <c r="L126" s="74"/>
      <c r="M126" s="74" t="s">
        <v>8</v>
      </c>
      <c r="N126" s="74"/>
      <c r="O126" s="74" t="s">
        <v>9</v>
      </c>
      <c r="P126" s="74"/>
      <c r="Q126" s="74" t="s">
        <v>10</v>
      </c>
      <c r="R126" s="74"/>
      <c r="S126" s="75" t="s">
        <v>11</v>
      </c>
      <c r="T126" s="75"/>
      <c r="U126" s="75" t="s">
        <v>12</v>
      </c>
      <c r="V126" s="75"/>
      <c r="W126" s="55"/>
    </row>
    <row r="127" spans="2:30">
      <c r="D127" s="86"/>
      <c r="E127" s="86"/>
      <c r="F127" s="87"/>
      <c r="G127" s="76" t="s">
        <v>13</v>
      </c>
      <c r="H127" s="76" t="s">
        <v>14</v>
      </c>
      <c r="I127" s="70" t="s">
        <v>13</v>
      </c>
      <c r="J127" s="70" t="s">
        <v>14</v>
      </c>
      <c r="K127" s="76" t="s">
        <v>13</v>
      </c>
      <c r="L127" s="76" t="s">
        <v>14</v>
      </c>
      <c r="M127" s="70" t="s">
        <v>13</v>
      </c>
      <c r="N127" s="70" t="s">
        <v>14</v>
      </c>
      <c r="O127" s="76" t="s">
        <v>13</v>
      </c>
      <c r="P127" s="76" t="s">
        <v>14</v>
      </c>
      <c r="Q127" s="70" t="s">
        <v>13</v>
      </c>
      <c r="R127" s="70" t="s">
        <v>14</v>
      </c>
      <c r="S127" s="76" t="s">
        <v>13</v>
      </c>
      <c r="T127" s="76" t="s">
        <v>14</v>
      </c>
      <c r="U127" s="70" t="s">
        <v>13</v>
      </c>
      <c r="V127" s="70" t="s">
        <v>14</v>
      </c>
      <c r="W127" s="56"/>
    </row>
    <row r="128" spans="2:30" ht="48.75" customHeight="1">
      <c r="D128" s="86"/>
      <c r="E128" s="86"/>
      <c r="F128" s="87"/>
      <c r="G128" s="77"/>
      <c r="H128" s="77"/>
      <c r="I128" s="71"/>
      <c r="J128" s="71"/>
      <c r="K128" s="77"/>
      <c r="L128" s="77"/>
      <c r="M128" s="71"/>
      <c r="N128" s="71"/>
      <c r="O128" s="77"/>
      <c r="P128" s="77"/>
      <c r="Q128" s="71"/>
      <c r="R128" s="71"/>
      <c r="S128" s="77"/>
      <c r="T128" s="77"/>
      <c r="U128" s="71"/>
      <c r="V128" s="71"/>
      <c r="W128" s="56"/>
      <c r="Y128" s="3" t="s">
        <v>160</v>
      </c>
      <c r="Z128" s="3" t="s">
        <v>161</v>
      </c>
      <c r="AA128" s="3" t="s">
        <v>162</v>
      </c>
      <c r="AB128" s="3" t="s">
        <v>163</v>
      </c>
    </row>
    <row r="129" spans="2:28">
      <c r="B129" s="82" t="s">
        <v>164</v>
      </c>
      <c r="C129" s="54" t="s">
        <v>20</v>
      </c>
      <c r="D129" s="41">
        <v>0.19500000000000001</v>
      </c>
      <c r="E129" s="7">
        <f>SUM(G129,I129,K129,M129,O129,Q129,S129,U129)</f>
        <v>0.7</v>
      </c>
      <c r="F129" s="8">
        <f>D129*E129</f>
        <v>0.13649999999999998</v>
      </c>
      <c r="G129" s="42">
        <v>0</v>
      </c>
      <c r="H129" s="42">
        <f>+D129*G129</f>
        <v>0</v>
      </c>
      <c r="I129" s="43">
        <v>0.6</v>
      </c>
      <c r="J129" s="43">
        <f>+I129*D129</f>
        <v>0.11699999999999999</v>
      </c>
      <c r="K129" s="42">
        <v>0.1</v>
      </c>
      <c r="L129" s="42">
        <f>+D129*K129</f>
        <v>1.9500000000000003E-2</v>
      </c>
      <c r="M129" s="43">
        <v>0</v>
      </c>
      <c r="N129" s="43">
        <f>+M129*D129</f>
        <v>0</v>
      </c>
      <c r="O129" s="42">
        <v>0</v>
      </c>
      <c r="P129" s="42">
        <f>+O129*D129</f>
        <v>0</v>
      </c>
      <c r="Q129" s="44">
        <v>0</v>
      </c>
      <c r="R129" s="44">
        <v>0</v>
      </c>
      <c r="S129" s="42">
        <v>0</v>
      </c>
      <c r="T129" s="42">
        <v>0</v>
      </c>
      <c r="U129" s="45">
        <v>0</v>
      </c>
      <c r="V129" s="45">
        <v>0</v>
      </c>
      <c r="W129" s="57"/>
      <c r="X129" s="46"/>
      <c r="Y129" s="47" t="s">
        <v>165</v>
      </c>
      <c r="Z129" s="47" t="s">
        <v>166</v>
      </c>
      <c r="AA129" s="47" t="s">
        <v>167</v>
      </c>
      <c r="AB129" s="47" t="s">
        <v>168</v>
      </c>
    </row>
    <row r="130" spans="2:28">
      <c r="B130" s="82"/>
      <c r="C130" s="54" t="s">
        <v>25</v>
      </c>
      <c r="D130" s="41">
        <v>0.1384</v>
      </c>
      <c r="E130" s="7">
        <f t="shared" ref="E130:E142" si="32">SUM(G130,I130,K130,M130,O130,Q130,S130,U130)</f>
        <v>0.55000000000000004</v>
      </c>
      <c r="F130" s="8">
        <f t="shared" ref="F130:F142" si="33">D130*E130</f>
        <v>7.6120000000000007E-2</v>
      </c>
      <c r="G130" s="42">
        <v>0.45</v>
      </c>
      <c r="H130" s="42">
        <f t="shared" ref="H130:H142" si="34">+D130*G130</f>
        <v>6.2280000000000002E-2</v>
      </c>
      <c r="I130" s="43">
        <v>0</v>
      </c>
      <c r="J130" s="43">
        <f t="shared" ref="J130:J142" si="35">+I130*D130</f>
        <v>0</v>
      </c>
      <c r="K130" s="42">
        <v>0</v>
      </c>
      <c r="L130" s="42">
        <f t="shared" ref="L130:L142" si="36">+D130*K130</f>
        <v>0</v>
      </c>
      <c r="M130" s="43">
        <v>0</v>
      </c>
      <c r="N130" s="43">
        <f t="shared" ref="N130:N142" si="37">+M130*D130</f>
        <v>0</v>
      </c>
      <c r="O130" s="42">
        <v>0.1</v>
      </c>
      <c r="P130" s="42">
        <f t="shared" ref="P130:P142" si="38">+O130*D130</f>
        <v>1.384E-2</v>
      </c>
      <c r="Q130" s="44">
        <v>0</v>
      </c>
      <c r="R130" s="44">
        <v>0</v>
      </c>
      <c r="S130" s="42">
        <v>0</v>
      </c>
      <c r="T130" s="42">
        <v>0</v>
      </c>
      <c r="U130" s="45">
        <v>0</v>
      </c>
      <c r="V130" s="45">
        <v>0</v>
      </c>
      <c r="W130" s="57"/>
      <c r="X130" s="46"/>
      <c r="Y130" s="47" t="s">
        <v>169</v>
      </c>
      <c r="Z130" s="47" t="s">
        <v>170</v>
      </c>
      <c r="AA130" s="47" t="s">
        <v>171</v>
      </c>
      <c r="AB130" s="52" t="s">
        <v>24</v>
      </c>
    </row>
    <row r="131" spans="2:28">
      <c r="B131" s="82"/>
      <c r="C131" s="54" t="s">
        <v>30</v>
      </c>
      <c r="D131" s="41">
        <v>0.11070000000000001</v>
      </c>
      <c r="E131" s="7">
        <f t="shared" si="32"/>
        <v>0</v>
      </c>
      <c r="F131" s="8">
        <f t="shared" si="33"/>
        <v>0</v>
      </c>
      <c r="G131" s="42">
        <v>0</v>
      </c>
      <c r="H131" s="42">
        <f t="shared" si="34"/>
        <v>0</v>
      </c>
      <c r="I131" s="43">
        <v>0</v>
      </c>
      <c r="J131" s="43">
        <f t="shared" si="35"/>
        <v>0</v>
      </c>
      <c r="K131" s="42">
        <v>0</v>
      </c>
      <c r="L131" s="42">
        <f t="shared" si="36"/>
        <v>0</v>
      </c>
      <c r="M131" s="43">
        <v>0</v>
      </c>
      <c r="N131" s="43">
        <f t="shared" si="37"/>
        <v>0</v>
      </c>
      <c r="O131" s="42">
        <v>0</v>
      </c>
      <c r="P131" s="42">
        <f t="shared" si="38"/>
        <v>0</v>
      </c>
      <c r="Q131" s="44">
        <v>0</v>
      </c>
      <c r="R131" s="44">
        <v>0</v>
      </c>
      <c r="S131" s="42">
        <v>0</v>
      </c>
      <c r="T131" s="42">
        <v>0</v>
      </c>
      <c r="U131" s="45">
        <v>0</v>
      </c>
      <c r="V131" s="45">
        <v>0</v>
      </c>
      <c r="W131" s="57"/>
      <c r="X131" s="46"/>
      <c r="Y131" s="47" t="s">
        <v>106</v>
      </c>
      <c r="Z131" s="47" t="s">
        <v>106</v>
      </c>
      <c r="AA131" s="47" t="s">
        <v>106</v>
      </c>
      <c r="AB131" s="47" t="s">
        <v>106</v>
      </c>
    </row>
    <row r="132" spans="2:28">
      <c r="B132" s="82"/>
      <c r="C132" s="54" t="s">
        <v>32</v>
      </c>
      <c r="D132" s="41">
        <v>0.16320000000000001</v>
      </c>
      <c r="E132" s="7">
        <f t="shared" si="32"/>
        <v>0.2</v>
      </c>
      <c r="F132" s="8">
        <f t="shared" si="33"/>
        <v>3.2640000000000002E-2</v>
      </c>
      <c r="G132" s="42">
        <v>0</v>
      </c>
      <c r="H132" s="42">
        <f t="shared" si="34"/>
        <v>0</v>
      </c>
      <c r="I132" s="43">
        <v>0</v>
      </c>
      <c r="J132" s="43">
        <f t="shared" si="35"/>
        <v>0</v>
      </c>
      <c r="K132" s="42">
        <v>0.2</v>
      </c>
      <c r="L132" s="42">
        <f t="shared" si="36"/>
        <v>3.2640000000000002E-2</v>
      </c>
      <c r="M132" s="43">
        <v>0</v>
      </c>
      <c r="N132" s="43">
        <f t="shared" si="37"/>
        <v>0</v>
      </c>
      <c r="O132" s="42">
        <v>0</v>
      </c>
      <c r="P132" s="42">
        <f t="shared" si="38"/>
        <v>0</v>
      </c>
      <c r="Q132" s="44">
        <v>0</v>
      </c>
      <c r="R132" s="44">
        <v>0</v>
      </c>
      <c r="S132" s="42">
        <v>0</v>
      </c>
      <c r="T132" s="42">
        <v>0</v>
      </c>
      <c r="U132" s="45">
        <v>0</v>
      </c>
      <c r="V132" s="45">
        <v>0</v>
      </c>
      <c r="W132" s="57"/>
      <c r="X132" s="46"/>
      <c r="Y132" s="47" t="s">
        <v>172</v>
      </c>
      <c r="Z132" s="47" t="s">
        <v>172</v>
      </c>
      <c r="AA132" s="47" t="s">
        <v>173</v>
      </c>
      <c r="AB132" s="47" t="s">
        <v>174</v>
      </c>
    </row>
    <row r="133" spans="2:28">
      <c r="B133" s="82"/>
      <c r="C133" s="29" t="s">
        <v>37</v>
      </c>
      <c r="D133" s="41">
        <v>0.15540000000000001</v>
      </c>
      <c r="E133" s="7">
        <f t="shared" si="32"/>
        <v>0.85</v>
      </c>
      <c r="F133" s="8">
        <f t="shared" si="33"/>
        <v>0.13209000000000001</v>
      </c>
      <c r="G133" s="42">
        <v>0.5</v>
      </c>
      <c r="H133" s="42">
        <f t="shared" si="34"/>
        <v>7.7700000000000005E-2</v>
      </c>
      <c r="I133" s="43">
        <v>0.2</v>
      </c>
      <c r="J133" s="43">
        <f t="shared" si="35"/>
        <v>3.1080000000000003E-2</v>
      </c>
      <c r="K133" s="42">
        <v>0</v>
      </c>
      <c r="L133" s="42">
        <f t="shared" si="36"/>
        <v>0</v>
      </c>
      <c r="M133" s="43">
        <v>0.15</v>
      </c>
      <c r="N133" s="43">
        <f t="shared" si="37"/>
        <v>2.3310000000000001E-2</v>
      </c>
      <c r="O133" s="42">
        <v>0</v>
      </c>
      <c r="P133" s="42">
        <f t="shared" si="38"/>
        <v>0</v>
      </c>
      <c r="Q133" s="44">
        <v>0</v>
      </c>
      <c r="R133" s="44">
        <v>0</v>
      </c>
      <c r="S133" s="42">
        <v>0</v>
      </c>
      <c r="T133" s="42">
        <v>0</v>
      </c>
      <c r="U133" s="45">
        <v>0</v>
      </c>
      <c r="V133" s="45">
        <v>0</v>
      </c>
      <c r="W133" s="57"/>
      <c r="X133" s="46"/>
      <c r="Y133" s="47" t="s">
        <v>175</v>
      </c>
      <c r="Z133" s="47" t="s">
        <v>176</v>
      </c>
      <c r="AA133" s="47" t="s">
        <v>177</v>
      </c>
      <c r="AB133" s="47" t="s">
        <v>178</v>
      </c>
    </row>
    <row r="134" spans="2:28">
      <c r="B134" s="82"/>
      <c r="C134" s="54" t="s">
        <v>41</v>
      </c>
      <c r="D134" s="41">
        <v>0.1172</v>
      </c>
      <c r="E134" s="7">
        <f t="shared" si="32"/>
        <v>1</v>
      </c>
      <c r="F134" s="8">
        <f t="shared" si="33"/>
        <v>0.1172</v>
      </c>
      <c r="G134" s="42">
        <v>1</v>
      </c>
      <c r="H134" s="42">
        <f t="shared" si="34"/>
        <v>0.1172</v>
      </c>
      <c r="I134" s="43">
        <v>0</v>
      </c>
      <c r="J134" s="43">
        <f t="shared" si="35"/>
        <v>0</v>
      </c>
      <c r="K134" s="42">
        <v>0</v>
      </c>
      <c r="L134" s="42">
        <f t="shared" si="36"/>
        <v>0</v>
      </c>
      <c r="M134" s="43">
        <v>0</v>
      </c>
      <c r="N134" s="43">
        <f t="shared" si="37"/>
        <v>0</v>
      </c>
      <c r="O134" s="42">
        <v>0</v>
      </c>
      <c r="P134" s="42">
        <f t="shared" si="38"/>
        <v>0</v>
      </c>
      <c r="Q134" s="45">
        <v>0</v>
      </c>
      <c r="R134" s="44">
        <v>0</v>
      </c>
      <c r="S134" s="42">
        <v>0</v>
      </c>
      <c r="T134" s="42">
        <v>0</v>
      </c>
      <c r="U134" s="45">
        <v>0</v>
      </c>
      <c r="V134" s="45">
        <v>0</v>
      </c>
      <c r="W134" s="57"/>
      <c r="X134" s="46"/>
      <c r="Y134" s="47" t="s">
        <v>179</v>
      </c>
      <c r="Z134" s="47" t="s">
        <v>180</v>
      </c>
      <c r="AA134" s="47" t="s">
        <v>181</v>
      </c>
      <c r="AB134" s="47" t="s">
        <v>182</v>
      </c>
    </row>
    <row r="135" spans="2:28">
      <c r="B135" s="82"/>
      <c r="C135" s="54" t="s">
        <v>46</v>
      </c>
      <c r="D135" s="41">
        <v>0.1202</v>
      </c>
      <c r="E135" s="7">
        <f t="shared" si="32"/>
        <v>0.3</v>
      </c>
      <c r="F135" s="8">
        <f t="shared" si="33"/>
        <v>3.6060000000000002E-2</v>
      </c>
      <c r="G135" s="42">
        <v>0.3</v>
      </c>
      <c r="H135" s="42">
        <f t="shared" si="34"/>
        <v>3.6060000000000002E-2</v>
      </c>
      <c r="I135" s="43">
        <v>0</v>
      </c>
      <c r="J135" s="43">
        <f t="shared" si="35"/>
        <v>0</v>
      </c>
      <c r="K135" s="42">
        <v>0</v>
      </c>
      <c r="L135" s="42">
        <f t="shared" si="36"/>
        <v>0</v>
      </c>
      <c r="M135" s="43">
        <v>0</v>
      </c>
      <c r="N135" s="43">
        <f t="shared" si="37"/>
        <v>0</v>
      </c>
      <c r="O135" s="42">
        <v>0</v>
      </c>
      <c r="P135" s="42">
        <f t="shared" si="38"/>
        <v>0</v>
      </c>
      <c r="Q135" s="45">
        <v>0</v>
      </c>
      <c r="R135" s="44">
        <v>0</v>
      </c>
      <c r="S135" s="42">
        <v>0</v>
      </c>
      <c r="T135" s="42">
        <v>0</v>
      </c>
      <c r="U135" s="45">
        <v>0</v>
      </c>
      <c r="V135" s="45">
        <v>0</v>
      </c>
      <c r="W135" s="57"/>
      <c r="X135" s="46"/>
      <c r="Y135" s="47" t="s">
        <v>183</v>
      </c>
      <c r="Z135" s="47" t="s">
        <v>183</v>
      </c>
      <c r="AA135" s="47" t="s">
        <v>184</v>
      </c>
      <c r="AB135" s="47" t="s">
        <v>184</v>
      </c>
    </row>
    <row r="136" spans="2:28">
      <c r="B136" s="82"/>
      <c r="C136" s="5" t="s">
        <v>55</v>
      </c>
      <c r="D136" s="30">
        <v>0.01</v>
      </c>
      <c r="E136" s="7">
        <f t="shared" si="32"/>
        <v>0</v>
      </c>
      <c r="F136" s="8">
        <f t="shared" si="33"/>
        <v>0</v>
      </c>
      <c r="G136" s="42">
        <v>0</v>
      </c>
      <c r="H136" s="42">
        <f t="shared" si="34"/>
        <v>0</v>
      </c>
      <c r="I136" s="43">
        <v>0</v>
      </c>
      <c r="J136" s="43">
        <f t="shared" si="35"/>
        <v>0</v>
      </c>
      <c r="K136" s="42">
        <v>0</v>
      </c>
      <c r="L136" s="42">
        <f t="shared" si="36"/>
        <v>0</v>
      </c>
      <c r="M136" s="43">
        <v>0</v>
      </c>
      <c r="N136" s="43">
        <f t="shared" si="37"/>
        <v>0</v>
      </c>
      <c r="O136" s="42">
        <v>0</v>
      </c>
      <c r="P136" s="42">
        <f t="shared" si="38"/>
        <v>0</v>
      </c>
      <c r="Q136" s="45">
        <v>0</v>
      </c>
      <c r="R136" s="44">
        <v>0</v>
      </c>
      <c r="S136" s="42">
        <v>0</v>
      </c>
      <c r="T136" s="42">
        <v>0</v>
      </c>
      <c r="U136" s="45">
        <v>0</v>
      </c>
      <c r="V136" s="45">
        <v>0</v>
      </c>
      <c r="W136" s="57"/>
      <c r="X136" s="46"/>
      <c r="Y136" s="47"/>
      <c r="Z136" s="53"/>
      <c r="AA136" s="47"/>
      <c r="AB136" s="47"/>
    </row>
    <row r="137" spans="2:28">
      <c r="B137" s="82"/>
      <c r="C137" s="5" t="s">
        <v>55</v>
      </c>
      <c r="D137" s="30">
        <v>0</v>
      </c>
      <c r="E137" s="7">
        <f t="shared" si="32"/>
        <v>0</v>
      </c>
      <c r="F137" s="8">
        <f t="shared" si="33"/>
        <v>0</v>
      </c>
      <c r="G137" s="42">
        <v>0</v>
      </c>
      <c r="H137" s="42">
        <f t="shared" si="34"/>
        <v>0</v>
      </c>
      <c r="I137" s="43">
        <v>0</v>
      </c>
      <c r="J137" s="43">
        <f t="shared" si="35"/>
        <v>0</v>
      </c>
      <c r="K137" s="42">
        <v>0</v>
      </c>
      <c r="L137" s="42">
        <f t="shared" si="36"/>
        <v>0</v>
      </c>
      <c r="M137" s="43">
        <v>0</v>
      </c>
      <c r="N137" s="43">
        <f t="shared" si="37"/>
        <v>0</v>
      </c>
      <c r="O137" s="42">
        <v>0</v>
      </c>
      <c r="P137" s="42">
        <f t="shared" si="38"/>
        <v>0</v>
      </c>
      <c r="Q137" s="45">
        <v>0</v>
      </c>
      <c r="R137" s="44">
        <v>0</v>
      </c>
      <c r="S137" s="42">
        <v>0</v>
      </c>
      <c r="T137" s="42">
        <v>0</v>
      </c>
      <c r="U137" s="45">
        <v>0</v>
      </c>
      <c r="V137" s="45">
        <v>0</v>
      </c>
      <c r="W137" s="57"/>
      <c r="X137" s="46"/>
      <c r="Y137" s="47"/>
      <c r="Z137" s="47"/>
      <c r="AA137" s="47"/>
      <c r="AB137" s="47"/>
    </row>
    <row r="138" spans="2:28">
      <c r="B138" s="82"/>
      <c r="C138" s="5" t="s">
        <v>55</v>
      </c>
      <c r="D138" s="30">
        <v>0</v>
      </c>
      <c r="E138" s="7">
        <f t="shared" si="32"/>
        <v>0</v>
      </c>
      <c r="F138" s="8">
        <f t="shared" si="33"/>
        <v>0</v>
      </c>
      <c r="G138" s="42">
        <v>0</v>
      </c>
      <c r="H138" s="42">
        <f t="shared" si="34"/>
        <v>0</v>
      </c>
      <c r="I138" s="43">
        <v>0</v>
      </c>
      <c r="J138" s="43">
        <f t="shared" si="35"/>
        <v>0</v>
      </c>
      <c r="K138" s="42">
        <v>0</v>
      </c>
      <c r="L138" s="42">
        <f t="shared" si="36"/>
        <v>0</v>
      </c>
      <c r="M138" s="43">
        <v>0</v>
      </c>
      <c r="N138" s="43">
        <f t="shared" si="37"/>
        <v>0</v>
      </c>
      <c r="O138" s="42">
        <v>0</v>
      </c>
      <c r="P138" s="42">
        <f t="shared" si="38"/>
        <v>0</v>
      </c>
      <c r="Q138" s="45">
        <v>0</v>
      </c>
      <c r="R138" s="44">
        <v>0</v>
      </c>
      <c r="S138" s="42">
        <v>0</v>
      </c>
      <c r="T138" s="42">
        <v>0</v>
      </c>
      <c r="U138" s="45">
        <v>0</v>
      </c>
      <c r="V138" s="45">
        <v>0</v>
      </c>
      <c r="W138" s="57"/>
      <c r="X138" s="46"/>
      <c r="Y138" s="47"/>
      <c r="Z138" s="47"/>
      <c r="AA138" s="47"/>
      <c r="AB138" s="47"/>
    </row>
    <row r="139" spans="2:28">
      <c r="B139" s="82"/>
      <c r="C139" s="5" t="s">
        <v>55</v>
      </c>
      <c r="D139" s="30">
        <v>0</v>
      </c>
      <c r="E139" s="7">
        <f t="shared" si="32"/>
        <v>0</v>
      </c>
      <c r="F139" s="8">
        <f t="shared" si="33"/>
        <v>0</v>
      </c>
      <c r="G139" s="42">
        <v>0</v>
      </c>
      <c r="H139" s="42">
        <f t="shared" si="34"/>
        <v>0</v>
      </c>
      <c r="I139" s="43">
        <v>0</v>
      </c>
      <c r="J139" s="43">
        <f t="shared" si="35"/>
        <v>0</v>
      </c>
      <c r="K139" s="42">
        <v>0</v>
      </c>
      <c r="L139" s="42">
        <f t="shared" si="36"/>
        <v>0</v>
      </c>
      <c r="M139" s="43">
        <v>0</v>
      </c>
      <c r="N139" s="43">
        <f t="shared" si="37"/>
        <v>0</v>
      </c>
      <c r="O139" s="42">
        <v>0</v>
      </c>
      <c r="P139" s="42">
        <f t="shared" si="38"/>
        <v>0</v>
      </c>
      <c r="Q139" s="45">
        <v>0</v>
      </c>
      <c r="R139" s="44">
        <v>0</v>
      </c>
      <c r="S139" s="42">
        <v>0</v>
      </c>
      <c r="T139" s="42">
        <v>0</v>
      </c>
      <c r="U139" s="45">
        <v>0</v>
      </c>
      <c r="V139" s="45">
        <v>0</v>
      </c>
      <c r="W139" s="57"/>
      <c r="X139" s="46"/>
      <c r="Y139" s="47"/>
      <c r="Z139" s="47"/>
      <c r="AA139" s="47"/>
      <c r="AB139" s="47"/>
    </row>
    <row r="140" spans="2:28">
      <c r="B140" s="82"/>
      <c r="C140" s="5" t="s">
        <v>55</v>
      </c>
      <c r="D140" s="30">
        <v>0</v>
      </c>
      <c r="E140" s="7">
        <f t="shared" si="32"/>
        <v>0</v>
      </c>
      <c r="F140" s="8">
        <f t="shared" si="33"/>
        <v>0</v>
      </c>
      <c r="G140" s="42">
        <v>0</v>
      </c>
      <c r="H140" s="42">
        <f t="shared" si="34"/>
        <v>0</v>
      </c>
      <c r="I140" s="43">
        <v>0</v>
      </c>
      <c r="J140" s="43">
        <f t="shared" si="35"/>
        <v>0</v>
      </c>
      <c r="K140" s="42">
        <v>0</v>
      </c>
      <c r="L140" s="42">
        <f t="shared" si="36"/>
        <v>0</v>
      </c>
      <c r="M140" s="43">
        <v>0</v>
      </c>
      <c r="N140" s="43">
        <f t="shared" si="37"/>
        <v>0</v>
      </c>
      <c r="O140" s="42">
        <v>0</v>
      </c>
      <c r="P140" s="42">
        <f t="shared" si="38"/>
        <v>0</v>
      </c>
      <c r="Q140" s="45">
        <v>0</v>
      </c>
      <c r="R140" s="44">
        <v>0</v>
      </c>
      <c r="S140" s="42">
        <v>0</v>
      </c>
      <c r="T140" s="42">
        <v>0</v>
      </c>
      <c r="U140" s="45">
        <v>0</v>
      </c>
      <c r="V140" s="45">
        <v>0</v>
      </c>
      <c r="W140" s="57"/>
      <c r="X140" s="46"/>
      <c r="Y140" s="47"/>
      <c r="Z140" s="47"/>
      <c r="AA140" s="47"/>
      <c r="AB140" s="47"/>
    </row>
    <row r="141" spans="2:28">
      <c r="B141" s="82"/>
      <c r="C141" s="5" t="s">
        <v>55</v>
      </c>
      <c r="D141" s="30">
        <v>0</v>
      </c>
      <c r="E141" s="7">
        <f t="shared" si="32"/>
        <v>0</v>
      </c>
      <c r="F141" s="8">
        <f t="shared" si="33"/>
        <v>0</v>
      </c>
      <c r="G141" s="42">
        <v>0</v>
      </c>
      <c r="H141" s="42">
        <f t="shared" si="34"/>
        <v>0</v>
      </c>
      <c r="I141" s="43">
        <v>0</v>
      </c>
      <c r="J141" s="43">
        <f t="shared" si="35"/>
        <v>0</v>
      </c>
      <c r="K141" s="42">
        <v>0</v>
      </c>
      <c r="L141" s="42">
        <f t="shared" si="36"/>
        <v>0</v>
      </c>
      <c r="M141" s="43">
        <v>0</v>
      </c>
      <c r="N141" s="43">
        <f t="shared" si="37"/>
        <v>0</v>
      </c>
      <c r="O141" s="42">
        <v>0</v>
      </c>
      <c r="P141" s="42">
        <f t="shared" si="38"/>
        <v>0</v>
      </c>
      <c r="Q141" s="45">
        <v>0</v>
      </c>
      <c r="R141" s="44">
        <v>0</v>
      </c>
      <c r="S141" s="42">
        <v>0</v>
      </c>
      <c r="T141" s="42">
        <v>0</v>
      </c>
      <c r="U141" s="45">
        <v>0</v>
      </c>
      <c r="V141" s="45">
        <v>0</v>
      </c>
      <c r="W141" s="57"/>
      <c r="X141" s="46"/>
      <c r="Y141" s="47"/>
      <c r="Z141" s="47"/>
      <c r="AA141" s="47"/>
      <c r="AB141" s="47"/>
    </row>
    <row r="142" spans="2:28">
      <c r="B142" s="82"/>
      <c r="C142" s="5" t="s">
        <v>55</v>
      </c>
      <c r="D142" s="6">
        <v>0</v>
      </c>
      <c r="E142" s="7">
        <f t="shared" si="32"/>
        <v>0</v>
      </c>
      <c r="F142" s="8">
        <f t="shared" si="33"/>
        <v>0</v>
      </c>
      <c r="G142" s="42">
        <v>0</v>
      </c>
      <c r="H142" s="42">
        <f t="shared" si="34"/>
        <v>0</v>
      </c>
      <c r="I142" s="43">
        <v>0</v>
      </c>
      <c r="J142" s="43">
        <f t="shared" si="35"/>
        <v>0</v>
      </c>
      <c r="K142" s="42">
        <v>0</v>
      </c>
      <c r="L142" s="42">
        <f t="shared" si="36"/>
        <v>0</v>
      </c>
      <c r="M142" s="43">
        <v>0</v>
      </c>
      <c r="N142" s="43">
        <f t="shared" si="37"/>
        <v>0</v>
      </c>
      <c r="O142" s="42">
        <v>0</v>
      </c>
      <c r="P142" s="42">
        <f t="shared" si="38"/>
        <v>0</v>
      </c>
      <c r="Q142" s="45">
        <v>0</v>
      </c>
      <c r="R142" s="44">
        <v>0</v>
      </c>
      <c r="S142" s="42">
        <v>0</v>
      </c>
      <c r="T142" s="42">
        <v>0</v>
      </c>
      <c r="U142" s="45">
        <v>0</v>
      </c>
      <c r="V142" s="45">
        <v>0</v>
      </c>
      <c r="W142" s="57"/>
      <c r="X142" s="46"/>
      <c r="Y142" s="47"/>
      <c r="Z142" s="47"/>
      <c r="AA142" s="47"/>
      <c r="AB142" s="47"/>
    </row>
    <row r="143" spans="2:28">
      <c r="E143" s="40">
        <f>SUM(E129:E142)</f>
        <v>3.5999999999999996</v>
      </c>
      <c r="G143" s="14"/>
      <c r="H143" s="15">
        <f>SUM(H129:H142)</f>
        <v>0.29323999999999995</v>
      </c>
      <c r="I143" s="15"/>
      <c r="J143" s="15">
        <f>SUM(J129:J142)</f>
        <v>0.14807999999999999</v>
      </c>
      <c r="K143" s="15"/>
      <c r="L143" s="15">
        <f>SUM(L129:L142)</f>
        <v>5.2140000000000006E-2</v>
      </c>
      <c r="M143" s="15"/>
      <c r="N143" s="15">
        <f>SUM(N129:N142)</f>
        <v>2.3310000000000001E-2</v>
      </c>
      <c r="O143" s="15"/>
      <c r="P143" s="15">
        <f>SUM(P129:P142)</f>
        <v>1.384E-2</v>
      </c>
      <c r="Q143" s="15"/>
      <c r="R143" s="15">
        <f>SUM(R129:R142)</f>
        <v>0</v>
      </c>
      <c r="S143" s="15"/>
      <c r="T143" s="15">
        <f>SUM(T129:T142)</f>
        <v>0</v>
      </c>
      <c r="U143" s="15"/>
      <c r="V143" s="15">
        <f>SUM(V129:V142)</f>
        <v>0</v>
      </c>
      <c r="W143" s="15"/>
      <c r="Y143" s="13"/>
    </row>
    <row r="144" spans="2:28">
      <c r="B144" s="78" t="s">
        <v>185</v>
      </c>
      <c r="C144" s="78"/>
      <c r="D144" s="78"/>
      <c r="E144" s="93">
        <v>27750191.309999999</v>
      </c>
      <c r="F144" s="93"/>
      <c r="G144" s="93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Y144" s="13"/>
    </row>
    <row r="145" spans="2:28">
      <c r="B145" s="16"/>
      <c r="C145" s="16"/>
      <c r="D145" s="16"/>
      <c r="G145" s="14"/>
      <c r="H145" s="14"/>
      <c r="I145" s="14"/>
      <c r="J145" s="14"/>
      <c r="K145" s="84" t="s">
        <v>57</v>
      </c>
      <c r="L145" s="84"/>
      <c r="M145" s="84"/>
      <c r="N145" s="17">
        <v>1200</v>
      </c>
      <c r="O145" s="85" t="s">
        <v>186</v>
      </c>
      <c r="P145" s="85"/>
      <c r="Q145" s="14"/>
      <c r="R145" s="14"/>
      <c r="S145" s="14"/>
      <c r="T145" s="14"/>
      <c r="U145" s="14"/>
      <c r="V145" s="14"/>
      <c r="W145" s="14"/>
      <c r="Y145" s="18"/>
    </row>
    <row r="146" spans="2:28">
      <c r="B146" s="19" t="s">
        <v>58</v>
      </c>
      <c r="C146" s="19"/>
      <c r="F146" s="67">
        <f>SUM(E129:E142)/10</f>
        <v>0.36</v>
      </c>
      <c r="G146" s="67"/>
      <c r="H146" s="20"/>
      <c r="I146" s="20"/>
      <c r="Y146" s="21"/>
    </row>
    <row r="147" spans="2:28">
      <c r="B147" s="19" t="s">
        <v>59</v>
      </c>
      <c r="F147" s="67">
        <f>SUM(F129:F142)</f>
        <v>0.53060999999999992</v>
      </c>
      <c r="G147" s="67"/>
      <c r="I147" s="68">
        <f>E144*F147</f>
        <v>14724529.010999097</v>
      </c>
      <c r="J147" s="68"/>
      <c r="K147" s="68"/>
      <c r="M147" s="69">
        <f>I147/N145</f>
        <v>12270.440842499247</v>
      </c>
      <c r="N147" s="69"/>
      <c r="O147" s="69"/>
    </row>
    <row r="149" spans="2:28">
      <c r="B149" s="78" t="s">
        <v>60</v>
      </c>
      <c r="C149" s="78"/>
      <c r="D149" s="78"/>
      <c r="F149" s="79">
        <f>1-F146</f>
        <v>0.64</v>
      </c>
      <c r="G149" s="79"/>
    </row>
    <row r="150" spans="2:28">
      <c r="B150" s="78" t="s">
        <v>61</v>
      </c>
      <c r="C150" s="78"/>
      <c r="D150" s="78"/>
      <c r="F150" s="79">
        <f>1-F147</f>
        <v>0.46939000000000008</v>
      </c>
      <c r="G150" s="79"/>
      <c r="I150" s="80">
        <f>E144*F150</f>
        <v>13025662.299000902</v>
      </c>
      <c r="J150" s="80"/>
      <c r="K150" s="80"/>
      <c r="M150" s="81">
        <f>I150/N145</f>
        <v>10854.718582500751</v>
      </c>
      <c r="N150" s="81"/>
      <c r="O150" s="81"/>
    </row>
    <row r="152" spans="2:28">
      <c r="B152" s="16" t="s">
        <v>62</v>
      </c>
      <c r="C152" s="16"/>
      <c r="D152" s="16"/>
      <c r="F152" s="62">
        <f>(7-(E143-E129-E131))/7</f>
        <v>0.58571428571428574</v>
      </c>
      <c r="G152" s="62"/>
      <c r="I152" s="63">
        <f>I150*F152</f>
        <v>7629316.4894148149</v>
      </c>
      <c r="J152" s="63"/>
      <c r="K152" s="63"/>
      <c r="M152" s="64">
        <f>M150*F152</f>
        <v>6357.763741179012</v>
      </c>
      <c r="N152" s="64"/>
      <c r="O152" s="64"/>
      <c r="P152" s="65" t="s">
        <v>63</v>
      </c>
      <c r="Q152" s="65"/>
      <c r="R152" s="65"/>
      <c r="S152" s="65"/>
      <c r="T152" s="65"/>
    </row>
    <row r="153" spans="2:28">
      <c r="B153" s="16" t="s">
        <v>64</v>
      </c>
      <c r="F153" s="66"/>
      <c r="G153" s="66"/>
      <c r="I153" s="63">
        <f>I150-I152</f>
        <v>5396345.8095860872</v>
      </c>
      <c r="J153" s="63"/>
      <c r="K153" s="63"/>
      <c r="M153" s="64">
        <f>M150-M152</f>
        <v>4496.954841321739</v>
      </c>
      <c r="N153" s="64"/>
      <c r="O153" s="64"/>
      <c r="P153" s="65"/>
      <c r="Q153" s="65"/>
      <c r="R153" s="65"/>
      <c r="S153" s="65"/>
      <c r="T153" s="65"/>
    </row>
    <row r="155" spans="2:28">
      <c r="G155" s="72">
        <f>$E$174*H173</f>
        <v>12357774.877473179</v>
      </c>
      <c r="H155" s="73"/>
      <c r="I155" s="72">
        <f>$E$174*J173</f>
        <v>2777513.0408818396</v>
      </c>
      <c r="J155" s="73"/>
      <c r="K155" s="72">
        <f>$E$174*L173</f>
        <v>1407481.6840599598</v>
      </c>
      <c r="L155" s="73"/>
      <c r="M155" s="72">
        <f>$E$174*N173</f>
        <v>1839191.9181752002</v>
      </c>
      <c r="N155" s="73"/>
      <c r="O155" s="72">
        <f>$E$174*P173</f>
        <v>1016633.5654693202</v>
      </c>
      <c r="P155" s="73"/>
      <c r="Q155" s="72">
        <f>$E$174*R173</f>
        <v>0</v>
      </c>
      <c r="R155" s="73"/>
      <c r="S155" s="72">
        <f>$E$174*T173</f>
        <v>0</v>
      </c>
      <c r="T155" s="73"/>
      <c r="U155" s="72">
        <f>$E$174*V173</f>
        <v>0</v>
      </c>
      <c r="V155" s="73"/>
      <c r="W155" s="2"/>
    </row>
    <row r="156" spans="2:28">
      <c r="D156" s="86" t="s">
        <v>2</v>
      </c>
      <c r="E156" s="86" t="s">
        <v>3</v>
      </c>
      <c r="F156" s="87" t="s">
        <v>4</v>
      </c>
      <c r="G156" s="88" t="s">
        <v>5</v>
      </c>
      <c r="H156" s="88"/>
      <c r="I156" s="74" t="s">
        <v>6</v>
      </c>
      <c r="J156" s="74"/>
      <c r="K156" s="74" t="s">
        <v>7</v>
      </c>
      <c r="L156" s="74"/>
      <c r="M156" s="74" t="s">
        <v>8</v>
      </c>
      <c r="N156" s="74"/>
      <c r="O156" s="74" t="s">
        <v>9</v>
      </c>
      <c r="P156" s="74"/>
      <c r="Q156" s="74" t="s">
        <v>10</v>
      </c>
      <c r="R156" s="74"/>
      <c r="S156" s="75" t="s">
        <v>11</v>
      </c>
      <c r="T156" s="75"/>
      <c r="U156" s="75" t="s">
        <v>12</v>
      </c>
      <c r="V156" s="92"/>
      <c r="W156" s="2"/>
    </row>
    <row r="157" spans="2:28" ht="57.75" customHeight="1">
      <c r="D157" s="86"/>
      <c r="E157" s="86"/>
      <c r="F157" s="87"/>
      <c r="G157" s="76" t="s">
        <v>13</v>
      </c>
      <c r="H157" s="76" t="s">
        <v>14</v>
      </c>
      <c r="I157" s="70" t="s">
        <v>13</v>
      </c>
      <c r="J157" s="70" t="s">
        <v>14</v>
      </c>
      <c r="K157" s="76" t="s">
        <v>13</v>
      </c>
      <c r="L157" s="76" t="s">
        <v>14</v>
      </c>
      <c r="M157" s="70" t="s">
        <v>13</v>
      </c>
      <c r="N157" s="70" t="s">
        <v>14</v>
      </c>
      <c r="O157" s="76" t="s">
        <v>13</v>
      </c>
      <c r="P157" s="76" t="s">
        <v>14</v>
      </c>
      <c r="Q157" s="70" t="s">
        <v>13</v>
      </c>
      <c r="R157" s="70" t="s">
        <v>14</v>
      </c>
      <c r="S157" s="76" t="s">
        <v>13</v>
      </c>
      <c r="T157" s="76" t="s">
        <v>14</v>
      </c>
      <c r="U157" s="89" t="s">
        <v>13</v>
      </c>
      <c r="V157" s="91" t="s">
        <v>14</v>
      </c>
      <c r="W157" s="60" t="s">
        <v>187</v>
      </c>
    </row>
    <row r="158" spans="2:28">
      <c r="D158" s="86"/>
      <c r="E158" s="86"/>
      <c r="F158" s="87"/>
      <c r="G158" s="77"/>
      <c r="H158" s="77"/>
      <c r="I158" s="71"/>
      <c r="J158" s="71"/>
      <c r="K158" s="77"/>
      <c r="L158" s="77"/>
      <c r="M158" s="71"/>
      <c r="N158" s="71"/>
      <c r="O158" s="77"/>
      <c r="P158" s="77"/>
      <c r="Q158" s="71"/>
      <c r="R158" s="71"/>
      <c r="S158" s="77"/>
      <c r="T158" s="77"/>
      <c r="U158" s="90"/>
      <c r="V158" s="91"/>
      <c r="W158" s="60"/>
      <c r="Y158" s="3" t="s">
        <v>188</v>
      </c>
      <c r="Z158" s="3" t="s">
        <v>189</v>
      </c>
      <c r="AA158" s="3" t="s">
        <v>190</v>
      </c>
      <c r="AB158" s="3" t="s">
        <v>191</v>
      </c>
    </row>
    <row r="159" spans="2:28">
      <c r="B159" s="82" t="s">
        <v>192</v>
      </c>
      <c r="C159" s="5" t="s">
        <v>193</v>
      </c>
      <c r="D159" s="30">
        <v>0.11939999999999999</v>
      </c>
      <c r="E159" s="7">
        <f>SUM(G159,I159,K159,M159,O159,Q159,S159,U159)</f>
        <v>0.40000000000000008</v>
      </c>
      <c r="F159" s="8">
        <f>D159*E159</f>
        <v>4.7760000000000004E-2</v>
      </c>
      <c r="G159" s="9">
        <v>0.05</v>
      </c>
      <c r="H159" s="9">
        <f>G159*D159</f>
        <v>5.9699999999999996E-3</v>
      </c>
      <c r="I159" s="10">
        <v>0</v>
      </c>
      <c r="J159" s="10">
        <f>I159*D159</f>
        <v>0</v>
      </c>
      <c r="K159" s="9">
        <v>0.17</v>
      </c>
      <c r="L159" s="9">
        <f>K159*D159</f>
        <v>2.0298E-2</v>
      </c>
      <c r="M159" s="10">
        <v>9.0000000000000011E-2</v>
      </c>
      <c r="N159" s="10">
        <f>M159*D159</f>
        <v>1.0746E-2</v>
      </c>
      <c r="O159" s="9">
        <v>9.0000000000000011E-2</v>
      </c>
      <c r="P159" s="9">
        <f>O159*D159</f>
        <v>1.0746E-2</v>
      </c>
      <c r="Q159" s="11">
        <v>0</v>
      </c>
      <c r="R159" s="11">
        <f>Q159*D159</f>
        <v>0</v>
      </c>
      <c r="S159" s="9">
        <v>0</v>
      </c>
      <c r="T159" s="9">
        <f>S159*D159</f>
        <v>0</v>
      </c>
      <c r="U159" s="12">
        <v>0</v>
      </c>
      <c r="V159" s="58">
        <f>U159*D159</f>
        <v>0</v>
      </c>
      <c r="W159" s="59">
        <f>D159*(1-E159)</f>
        <v>7.1639999999999981E-2</v>
      </c>
      <c r="Y159" s="22"/>
      <c r="Z159" s="22"/>
      <c r="AA159" s="23"/>
      <c r="AB159" s="23"/>
    </row>
    <row r="160" spans="2:28">
      <c r="B160" s="82"/>
      <c r="C160" s="5" t="s">
        <v>30</v>
      </c>
      <c r="D160" s="30">
        <v>0.1125</v>
      </c>
      <c r="E160" s="7">
        <f t="shared" ref="E160:E172" si="39">SUM(G160,I160,K160,M160,O160,Q160,S160,U160)</f>
        <v>0</v>
      </c>
      <c r="F160" s="8">
        <f t="shared" ref="F160:F172" si="40">D160*E160</f>
        <v>0</v>
      </c>
      <c r="G160" s="9">
        <v>0</v>
      </c>
      <c r="H160" s="9">
        <f t="shared" ref="H160:H172" si="41">G160*D160</f>
        <v>0</v>
      </c>
      <c r="I160" s="10">
        <v>0</v>
      </c>
      <c r="J160" s="10">
        <f t="shared" ref="J160:J172" si="42">I160*D160</f>
        <v>0</v>
      </c>
      <c r="K160" s="9">
        <v>0</v>
      </c>
      <c r="L160" s="9">
        <f t="shared" ref="L160:L172" si="43">K160*D160</f>
        <v>0</v>
      </c>
      <c r="M160" s="10">
        <v>0</v>
      </c>
      <c r="N160" s="10">
        <f t="shared" ref="N160:N172" si="44">M160*D160</f>
        <v>0</v>
      </c>
      <c r="O160" s="9">
        <v>0</v>
      </c>
      <c r="P160" s="9">
        <f t="shared" ref="P160:P172" si="45">O160*D160</f>
        <v>0</v>
      </c>
      <c r="Q160" s="11">
        <v>0</v>
      </c>
      <c r="R160" s="11">
        <f t="shared" ref="R160:R172" si="46">Q160*D160</f>
        <v>0</v>
      </c>
      <c r="S160" s="9">
        <v>0</v>
      </c>
      <c r="T160" s="9">
        <f t="shared" ref="T160:T172" si="47">S160*D160</f>
        <v>0</v>
      </c>
      <c r="U160" s="12">
        <v>0</v>
      </c>
      <c r="V160" s="12">
        <f t="shared" ref="V160:V172" si="48">U160*D160</f>
        <v>0</v>
      </c>
      <c r="W160" s="59">
        <f t="shared" ref="W160:W172" si="49">D160*(1-E160)</f>
        <v>0.1125</v>
      </c>
      <c r="Y160" s="22"/>
      <c r="Z160" s="22"/>
      <c r="AA160" s="22"/>
      <c r="AB160" s="22"/>
    </row>
    <row r="161" spans="2:28">
      <c r="B161" s="82"/>
      <c r="C161" s="5" t="s">
        <v>25</v>
      </c>
      <c r="D161" s="30">
        <v>0.14880000000000002</v>
      </c>
      <c r="E161" s="7">
        <f t="shared" si="39"/>
        <v>0.64999999999999991</v>
      </c>
      <c r="F161" s="8">
        <f t="shared" si="40"/>
        <v>9.672E-2</v>
      </c>
      <c r="G161" s="9">
        <v>0.44999999999999996</v>
      </c>
      <c r="H161" s="9">
        <f t="shared" si="41"/>
        <v>6.6960000000000006E-2</v>
      </c>
      <c r="I161" s="10">
        <v>0</v>
      </c>
      <c r="J161" s="10">
        <f t="shared" si="42"/>
        <v>0</v>
      </c>
      <c r="K161" s="9">
        <v>0</v>
      </c>
      <c r="L161" s="9">
        <f t="shared" si="43"/>
        <v>0</v>
      </c>
      <c r="M161" s="10">
        <v>0.1</v>
      </c>
      <c r="N161" s="10">
        <f t="shared" si="44"/>
        <v>1.4880000000000003E-2</v>
      </c>
      <c r="O161" s="9">
        <v>0.1</v>
      </c>
      <c r="P161" s="9">
        <f t="shared" si="45"/>
        <v>1.4880000000000003E-2</v>
      </c>
      <c r="Q161" s="11">
        <v>0</v>
      </c>
      <c r="R161" s="11">
        <f t="shared" si="46"/>
        <v>0</v>
      </c>
      <c r="S161" s="9">
        <v>0</v>
      </c>
      <c r="T161" s="9">
        <f t="shared" si="47"/>
        <v>0</v>
      </c>
      <c r="U161" s="12">
        <v>0</v>
      </c>
      <c r="V161" s="12">
        <f t="shared" si="48"/>
        <v>0</v>
      </c>
      <c r="W161" s="59">
        <f t="shared" si="49"/>
        <v>5.2080000000000022E-2</v>
      </c>
      <c r="Y161" s="22"/>
      <c r="Z161" s="22"/>
      <c r="AA161" s="22"/>
      <c r="AB161" s="22"/>
    </row>
    <row r="162" spans="2:28">
      <c r="B162" s="82"/>
      <c r="C162" s="5" t="s">
        <v>37</v>
      </c>
      <c r="D162" s="30">
        <v>0.14810000000000001</v>
      </c>
      <c r="E162" s="7">
        <f t="shared" si="39"/>
        <v>0.85000000000000009</v>
      </c>
      <c r="F162" s="8">
        <f t="shared" si="40"/>
        <v>0.12588500000000002</v>
      </c>
      <c r="G162" s="9">
        <v>0.69000000000000006</v>
      </c>
      <c r="H162" s="9">
        <f t="shared" si="41"/>
        <v>0.10218900000000002</v>
      </c>
      <c r="I162" s="10">
        <v>0.02</v>
      </c>
      <c r="J162" s="10">
        <f t="shared" si="42"/>
        <v>2.9620000000000002E-3</v>
      </c>
      <c r="K162" s="9">
        <v>0</v>
      </c>
      <c r="L162" s="9">
        <f t="shared" si="43"/>
        <v>0</v>
      </c>
      <c r="M162" s="10">
        <v>0.14000000000000001</v>
      </c>
      <c r="N162" s="10">
        <f t="shared" si="44"/>
        <v>2.0734000000000002E-2</v>
      </c>
      <c r="O162" s="9">
        <v>0</v>
      </c>
      <c r="P162" s="9">
        <f t="shared" si="45"/>
        <v>0</v>
      </c>
      <c r="Q162" s="11">
        <v>0</v>
      </c>
      <c r="R162" s="11">
        <f t="shared" si="46"/>
        <v>0</v>
      </c>
      <c r="S162" s="9">
        <v>0</v>
      </c>
      <c r="T162" s="9">
        <f t="shared" si="47"/>
        <v>0</v>
      </c>
      <c r="U162" s="12">
        <v>0</v>
      </c>
      <c r="V162" s="12">
        <f t="shared" si="48"/>
        <v>0</v>
      </c>
      <c r="W162" s="59">
        <f t="shared" si="49"/>
        <v>2.2214999999999988E-2</v>
      </c>
      <c r="Y162" s="22"/>
      <c r="Z162" s="23"/>
      <c r="AA162" s="23"/>
      <c r="AB162" s="23"/>
    </row>
    <row r="163" spans="2:28">
      <c r="B163" s="82"/>
      <c r="C163" s="5" t="s">
        <v>41</v>
      </c>
      <c r="D163" s="30">
        <v>0.12119999999999999</v>
      </c>
      <c r="E163" s="7">
        <f t="shared" si="39"/>
        <v>1</v>
      </c>
      <c r="F163" s="8">
        <f t="shared" si="40"/>
        <v>0.12119999999999999</v>
      </c>
      <c r="G163" s="9">
        <v>1</v>
      </c>
      <c r="H163" s="9">
        <f t="shared" si="41"/>
        <v>0.12119999999999999</v>
      </c>
      <c r="I163" s="10">
        <v>0</v>
      </c>
      <c r="J163" s="10">
        <f t="shared" si="42"/>
        <v>0</v>
      </c>
      <c r="K163" s="9">
        <v>0</v>
      </c>
      <c r="L163" s="9">
        <f t="shared" si="43"/>
        <v>0</v>
      </c>
      <c r="M163" s="10">
        <v>0</v>
      </c>
      <c r="N163" s="10">
        <f t="shared" si="44"/>
        <v>0</v>
      </c>
      <c r="O163" s="9">
        <v>0</v>
      </c>
      <c r="P163" s="9">
        <f t="shared" si="45"/>
        <v>0</v>
      </c>
      <c r="Q163" s="11">
        <v>0</v>
      </c>
      <c r="R163" s="11">
        <f t="shared" si="46"/>
        <v>0</v>
      </c>
      <c r="S163" s="9">
        <v>0</v>
      </c>
      <c r="T163" s="9">
        <f t="shared" si="47"/>
        <v>0</v>
      </c>
      <c r="U163" s="12">
        <v>0</v>
      </c>
      <c r="V163" s="12">
        <f t="shared" si="48"/>
        <v>0</v>
      </c>
      <c r="W163" s="59">
        <f t="shared" si="49"/>
        <v>0</v>
      </c>
      <c r="Y163" s="22"/>
      <c r="Z163" s="22"/>
      <c r="AA163" s="22"/>
      <c r="AB163" s="22"/>
    </row>
    <row r="164" spans="2:28">
      <c r="B164" s="82"/>
      <c r="C164" s="5" t="s">
        <v>20</v>
      </c>
      <c r="D164" s="30">
        <v>0.19820000000000002</v>
      </c>
      <c r="E164" s="7">
        <f t="shared" si="39"/>
        <v>0.3</v>
      </c>
      <c r="F164" s="8">
        <f t="shared" si="40"/>
        <v>5.9459999999999999E-2</v>
      </c>
      <c r="G164" s="9">
        <v>0</v>
      </c>
      <c r="H164" s="9">
        <f t="shared" si="41"/>
        <v>0</v>
      </c>
      <c r="I164" s="10">
        <v>0.3</v>
      </c>
      <c r="J164" s="10">
        <f t="shared" si="42"/>
        <v>5.9459999999999999E-2</v>
      </c>
      <c r="K164" s="9">
        <v>0</v>
      </c>
      <c r="L164" s="9">
        <f t="shared" si="43"/>
        <v>0</v>
      </c>
      <c r="M164" s="10">
        <v>0</v>
      </c>
      <c r="N164" s="10">
        <f t="shared" si="44"/>
        <v>0</v>
      </c>
      <c r="O164" s="9">
        <v>0</v>
      </c>
      <c r="P164" s="9">
        <f t="shared" si="45"/>
        <v>0</v>
      </c>
      <c r="Q164" s="12">
        <v>0</v>
      </c>
      <c r="R164" s="11">
        <f t="shared" si="46"/>
        <v>0</v>
      </c>
      <c r="S164" s="9">
        <v>0</v>
      </c>
      <c r="T164" s="9">
        <f t="shared" si="47"/>
        <v>0</v>
      </c>
      <c r="U164" s="12">
        <v>0</v>
      </c>
      <c r="V164" s="12">
        <f t="shared" si="48"/>
        <v>0</v>
      </c>
      <c r="W164" s="59">
        <f t="shared" si="49"/>
        <v>0.13874</v>
      </c>
      <c r="Y164" s="22"/>
      <c r="Z164" s="22"/>
      <c r="AA164" s="22"/>
      <c r="AB164" s="23"/>
    </row>
    <row r="165" spans="2:28">
      <c r="B165" s="82"/>
      <c r="C165" s="5" t="s">
        <v>32</v>
      </c>
      <c r="D165" s="30">
        <v>0.15179999999999999</v>
      </c>
      <c r="E165" s="7">
        <f t="shared" si="39"/>
        <v>0.25</v>
      </c>
      <c r="F165" s="8">
        <f t="shared" si="40"/>
        <v>3.7949999999999998E-2</v>
      </c>
      <c r="G165" s="9">
        <v>0.1</v>
      </c>
      <c r="H165" s="9">
        <f t="shared" si="41"/>
        <v>1.5179999999999999E-2</v>
      </c>
      <c r="I165" s="10">
        <v>0.05</v>
      </c>
      <c r="J165" s="10">
        <f t="shared" si="42"/>
        <v>7.5899999999999995E-3</v>
      </c>
      <c r="K165" s="9">
        <v>0.1</v>
      </c>
      <c r="L165" s="9">
        <f t="shared" si="43"/>
        <v>1.5179999999999999E-2</v>
      </c>
      <c r="M165" s="10">
        <v>0</v>
      </c>
      <c r="N165" s="10">
        <f t="shared" si="44"/>
        <v>0</v>
      </c>
      <c r="O165" s="9">
        <v>0</v>
      </c>
      <c r="P165" s="9">
        <f t="shared" si="45"/>
        <v>0</v>
      </c>
      <c r="Q165" s="12">
        <v>0</v>
      </c>
      <c r="R165" s="11">
        <f t="shared" si="46"/>
        <v>0</v>
      </c>
      <c r="S165" s="9">
        <v>0</v>
      </c>
      <c r="T165" s="9">
        <f t="shared" si="47"/>
        <v>0</v>
      </c>
      <c r="U165" s="12">
        <v>0</v>
      </c>
      <c r="V165" s="12">
        <f t="shared" si="48"/>
        <v>0</v>
      </c>
      <c r="W165" s="59">
        <f t="shared" si="49"/>
        <v>0.11384999999999999</v>
      </c>
      <c r="Y165" s="22"/>
      <c r="Z165" s="22"/>
      <c r="AA165" s="22"/>
      <c r="AB165" s="22"/>
    </row>
    <row r="166" spans="2:28">
      <c r="B166" s="82"/>
      <c r="C166" s="5" t="s">
        <v>55</v>
      </c>
      <c r="D166" s="30">
        <v>0</v>
      </c>
      <c r="E166" s="7">
        <f t="shared" si="39"/>
        <v>0</v>
      </c>
      <c r="F166" s="8">
        <f t="shared" si="40"/>
        <v>0</v>
      </c>
      <c r="G166" s="9">
        <v>0</v>
      </c>
      <c r="H166" s="9">
        <f t="shared" si="41"/>
        <v>0</v>
      </c>
      <c r="I166" s="10">
        <v>0</v>
      </c>
      <c r="J166" s="10">
        <f t="shared" si="42"/>
        <v>0</v>
      </c>
      <c r="K166" s="9">
        <v>0</v>
      </c>
      <c r="L166" s="9">
        <f t="shared" si="43"/>
        <v>0</v>
      </c>
      <c r="M166" s="10">
        <v>0</v>
      </c>
      <c r="N166" s="10">
        <f t="shared" si="44"/>
        <v>0</v>
      </c>
      <c r="O166" s="9">
        <v>0</v>
      </c>
      <c r="P166" s="9">
        <f t="shared" si="45"/>
        <v>0</v>
      </c>
      <c r="Q166" s="12">
        <v>0</v>
      </c>
      <c r="R166" s="11">
        <f t="shared" si="46"/>
        <v>0</v>
      </c>
      <c r="S166" s="9">
        <v>0</v>
      </c>
      <c r="T166" s="9">
        <f t="shared" si="47"/>
        <v>0</v>
      </c>
      <c r="U166" s="12">
        <v>0</v>
      </c>
      <c r="V166" s="12">
        <f t="shared" si="48"/>
        <v>0</v>
      </c>
      <c r="W166" s="59">
        <f t="shared" si="49"/>
        <v>0</v>
      </c>
      <c r="Y166" s="22"/>
      <c r="Z166" s="22"/>
      <c r="AA166" s="28"/>
      <c r="AB166" s="23"/>
    </row>
    <row r="167" spans="2:28">
      <c r="B167" s="82"/>
      <c r="C167" s="5" t="s">
        <v>55</v>
      </c>
      <c r="D167" s="30">
        <v>0</v>
      </c>
      <c r="E167" s="7">
        <f t="shared" si="39"/>
        <v>0</v>
      </c>
      <c r="F167" s="8">
        <f t="shared" si="40"/>
        <v>0</v>
      </c>
      <c r="G167" s="9">
        <v>0</v>
      </c>
      <c r="H167" s="9">
        <f t="shared" si="41"/>
        <v>0</v>
      </c>
      <c r="I167" s="10">
        <v>0</v>
      </c>
      <c r="J167" s="10">
        <f t="shared" si="42"/>
        <v>0</v>
      </c>
      <c r="K167" s="9">
        <v>0</v>
      </c>
      <c r="L167" s="9">
        <f t="shared" si="43"/>
        <v>0</v>
      </c>
      <c r="M167" s="10">
        <v>0</v>
      </c>
      <c r="N167" s="10">
        <f t="shared" si="44"/>
        <v>0</v>
      </c>
      <c r="O167" s="9">
        <v>0</v>
      </c>
      <c r="P167" s="9">
        <f t="shared" si="45"/>
        <v>0</v>
      </c>
      <c r="Q167" s="12">
        <v>0</v>
      </c>
      <c r="R167" s="11">
        <f t="shared" si="46"/>
        <v>0</v>
      </c>
      <c r="S167" s="9">
        <v>0</v>
      </c>
      <c r="T167" s="9">
        <f t="shared" si="47"/>
        <v>0</v>
      </c>
      <c r="U167" s="12">
        <v>0</v>
      </c>
      <c r="V167" s="12">
        <f t="shared" si="48"/>
        <v>0</v>
      </c>
      <c r="W167" s="59">
        <f t="shared" si="49"/>
        <v>0</v>
      </c>
      <c r="Y167" s="22"/>
      <c r="Z167" s="22"/>
      <c r="AA167" s="22"/>
      <c r="AB167" s="23"/>
    </row>
    <row r="168" spans="2:28">
      <c r="B168" s="82"/>
      <c r="C168" s="5" t="s">
        <v>55</v>
      </c>
      <c r="D168" s="30">
        <v>0</v>
      </c>
      <c r="E168" s="7">
        <f t="shared" si="39"/>
        <v>0</v>
      </c>
      <c r="F168" s="8">
        <f t="shared" si="40"/>
        <v>0</v>
      </c>
      <c r="G168" s="9">
        <v>0</v>
      </c>
      <c r="H168" s="9">
        <f t="shared" si="41"/>
        <v>0</v>
      </c>
      <c r="I168" s="10">
        <v>0</v>
      </c>
      <c r="J168" s="10">
        <f t="shared" si="42"/>
        <v>0</v>
      </c>
      <c r="K168" s="9">
        <v>0</v>
      </c>
      <c r="L168" s="9">
        <f t="shared" si="43"/>
        <v>0</v>
      </c>
      <c r="M168" s="10">
        <v>0</v>
      </c>
      <c r="N168" s="10">
        <f t="shared" si="44"/>
        <v>0</v>
      </c>
      <c r="O168" s="9">
        <v>0</v>
      </c>
      <c r="P168" s="9">
        <f t="shared" si="45"/>
        <v>0</v>
      </c>
      <c r="Q168" s="12">
        <v>0</v>
      </c>
      <c r="R168" s="11">
        <f t="shared" si="46"/>
        <v>0</v>
      </c>
      <c r="S168" s="9">
        <v>0</v>
      </c>
      <c r="T168" s="9">
        <f t="shared" si="47"/>
        <v>0</v>
      </c>
      <c r="U168" s="12">
        <v>0</v>
      </c>
      <c r="V168" s="12">
        <f t="shared" si="48"/>
        <v>0</v>
      </c>
      <c r="W168" s="59">
        <f t="shared" si="49"/>
        <v>0</v>
      </c>
      <c r="Y168" s="22"/>
      <c r="Z168" s="22"/>
      <c r="AA168" s="23"/>
      <c r="AB168" s="23"/>
    </row>
    <row r="169" spans="2:28">
      <c r="B169" s="82"/>
      <c r="C169" s="5" t="s">
        <v>55</v>
      </c>
      <c r="D169" s="30">
        <v>0</v>
      </c>
      <c r="E169" s="7">
        <f t="shared" si="39"/>
        <v>0</v>
      </c>
      <c r="F169" s="8">
        <f t="shared" si="40"/>
        <v>0</v>
      </c>
      <c r="G169" s="9">
        <v>0</v>
      </c>
      <c r="H169" s="9">
        <f t="shared" si="41"/>
        <v>0</v>
      </c>
      <c r="I169" s="10">
        <v>0</v>
      </c>
      <c r="J169" s="10">
        <f t="shared" si="42"/>
        <v>0</v>
      </c>
      <c r="K169" s="9">
        <v>0</v>
      </c>
      <c r="L169" s="9">
        <f t="shared" si="43"/>
        <v>0</v>
      </c>
      <c r="M169" s="10">
        <v>0</v>
      </c>
      <c r="N169" s="10">
        <f t="shared" si="44"/>
        <v>0</v>
      </c>
      <c r="O169" s="9">
        <v>0</v>
      </c>
      <c r="P169" s="9">
        <f t="shared" si="45"/>
        <v>0</v>
      </c>
      <c r="Q169" s="12">
        <v>0</v>
      </c>
      <c r="R169" s="11">
        <f t="shared" si="46"/>
        <v>0</v>
      </c>
      <c r="S169" s="9">
        <v>0</v>
      </c>
      <c r="T169" s="9">
        <f t="shared" si="47"/>
        <v>0</v>
      </c>
      <c r="U169" s="12">
        <v>0</v>
      </c>
      <c r="V169" s="12">
        <f t="shared" si="48"/>
        <v>0</v>
      </c>
      <c r="W169" s="59">
        <f t="shared" si="49"/>
        <v>0</v>
      </c>
      <c r="Y169" s="22"/>
      <c r="Z169" s="22"/>
      <c r="AA169" s="22"/>
      <c r="AB169" s="22"/>
    </row>
    <row r="170" spans="2:28">
      <c r="B170" s="82"/>
      <c r="C170" s="5" t="s">
        <v>55</v>
      </c>
      <c r="D170" s="30">
        <v>0</v>
      </c>
      <c r="E170" s="7">
        <f t="shared" si="39"/>
        <v>0</v>
      </c>
      <c r="F170" s="8">
        <f t="shared" si="40"/>
        <v>0</v>
      </c>
      <c r="G170" s="9">
        <v>0</v>
      </c>
      <c r="H170" s="9">
        <f t="shared" si="41"/>
        <v>0</v>
      </c>
      <c r="I170" s="10">
        <v>0</v>
      </c>
      <c r="J170" s="10">
        <f t="shared" si="42"/>
        <v>0</v>
      </c>
      <c r="K170" s="9">
        <v>0</v>
      </c>
      <c r="L170" s="9">
        <f t="shared" si="43"/>
        <v>0</v>
      </c>
      <c r="M170" s="10">
        <v>0</v>
      </c>
      <c r="N170" s="10">
        <f t="shared" si="44"/>
        <v>0</v>
      </c>
      <c r="O170" s="9">
        <v>0</v>
      </c>
      <c r="P170" s="9">
        <f t="shared" si="45"/>
        <v>0</v>
      </c>
      <c r="Q170" s="12">
        <v>0</v>
      </c>
      <c r="R170" s="11">
        <f t="shared" si="46"/>
        <v>0</v>
      </c>
      <c r="S170" s="9">
        <v>0</v>
      </c>
      <c r="T170" s="9">
        <f t="shared" si="47"/>
        <v>0</v>
      </c>
      <c r="U170" s="12">
        <v>0</v>
      </c>
      <c r="V170" s="12">
        <f t="shared" si="48"/>
        <v>0</v>
      </c>
      <c r="W170" s="59">
        <f t="shared" si="49"/>
        <v>0</v>
      </c>
      <c r="Y170" s="22"/>
      <c r="Z170" s="23"/>
      <c r="AA170" s="23"/>
      <c r="AB170" s="23"/>
    </row>
    <row r="171" spans="2:28">
      <c r="B171" s="82"/>
      <c r="C171" s="5" t="s">
        <v>55</v>
      </c>
      <c r="D171" s="30">
        <v>0</v>
      </c>
      <c r="E171" s="7">
        <f t="shared" si="39"/>
        <v>0</v>
      </c>
      <c r="F171" s="8">
        <f t="shared" si="40"/>
        <v>0</v>
      </c>
      <c r="G171" s="9">
        <v>0</v>
      </c>
      <c r="H171" s="9">
        <f t="shared" si="41"/>
        <v>0</v>
      </c>
      <c r="I171" s="10">
        <v>0</v>
      </c>
      <c r="J171" s="10">
        <f t="shared" si="42"/>
        <v>0</v>
      </c>
      <c r="K171" s="9">
        <v>0</v>
      </c>
      <c r="L171" s="9">
        <f t="shared" si="43"/>
        <v>0</v>
      </c>
      <c r="M171" s="10">
        <v>0</v>
      </c>
      <c r="N171" s="10">
        <f t="shared" si="44"/>
        <v>0</v>
      </c>
      <c r="O171" s="9">
        <v>0</v>
      </c>
      <c r="P171" s="9">
        <f t="shared" si="45"/>
        <v>0</v>
      </c>
      <c r="Q171" s="12">
        <v>0</v>
      </c>
      <c r="R171" s="11">
        <f t="shared" si="46"/>
        <v>0</v>
      </c>
      <c r="S171" s="9">
        <v>0</v>
      </c>
      <c r="T171" s="9">
        <f t="shared" si="47"/>
        <v>0</v>
      </c>
      <c r="U171" s="12">
        <v>0</v>
      </c>
      <c r="V171" s="12">
        <f t="shared" si="48"/>
        <v>0</v>
      </c>
      <c r="W171" s="59">
        <f t="shared" si="49"/>
        <v>0</v>
      </c>
      <c r="Y171" s="22"/>
      <c r="Z171" s="23"/>
      <c r="AA171" s="23"/>
      <c r="AB171" s="23"/>
    </row>
    <row r="172" spans="2:28">
      <c r="B172" s="82"/>
      <c r="C172" s="5" t="s">
        <v>55</v>
      </c>
      <c r="D172" s="30">
        <v>0</v>
      </c>
      <c r="E172" s="7">
        <f t="shared" si="39"/>
        <v>0</v>
      </c>
      <c r="F172" s="8">
        <f t="shared" si="40"/>
        <v>0</v>
      </c>
      <c r="G172" s="9">
        <v>0</v>
      </c>
      <c r="H172" s="9">
        <f t="shared" si="41"/>
        <v>0</v>
      </c>
      <c r="I172" s="10">
        <v>0</v>
      </c>
      <c r="J172" s="10">
        <f t="shared" si="42"/>
        <v>0</v>
      </c>
      <c r="K172" s="9">
        <v>0</v>
      </c>
      <c r="L172" s="9">
        <f t="shared" si="43"/>
        <v>0</v>
      </c>
      <c r="M172" s="10">
        <v>0</v>
      </c>
      <c r="N172" s="10">
        <f t="shared" si="44"/>
        <v>0</v>
      </c>
      <c r="O172" s="9">
        <v>0</v>
      </c>
      <c r="P172" s="9">
        <f t="shared" si="45"/>
        <v>0</v>
      </c>
      <c r="Q172" s="12">
        <v>0</v>
      </c>
      <c r="R172" s="11">
        <f t="shared" si="46"/>
        <v>0</v>
      </c>
      <c r="S172" s="9">
        <v>0</v>
      </c>
      <c r="T172" s="9">
        <f t="shared" si="47"/>
        <v>0</v>
      </c>
      <c r="U172" s="12">
        <v>0</v>
      </c>
      <c r="V172" s="12">
        <f t="shared" si="48"/>
        <v>0</v>
      </c>
      <c r="W172" s="59">
        <f t="shared" si="49"/>
        <v>0</v>
      </c>
      <c r="Y172" s="22"/>
      <c r="Z172" s="23"/>
      <c r="AA172" s="23"/>
      <c r="AB172" s="23"/>
    </row>
    <row r="173" spans="2:28">
      <c r="E173" s="40">
        <f>SUM(E159:E172)</f>
        <v>3.45</v>
      </c>
      <c r="G173" s="14"/>
      <c r="H173" s="15">
        <f>SUM(H159:H172)</f>
        <v>0.31149899999999997</v>
      </c>
      <c r="I173" s="15"/>
      <c r="J173" s="15">
        <f>SUM(J159:J172)</f>
        <v>7.0011999999999991E-2</v>
      </c>
      <c r="K173" s="15"/>
      <c r="L173" s="15">
        <f>SUM(L159:L172)</f>
        <v>3.5477999999999996E-2</v>
      </c>
      <c r="M173" s="15"/>
      <c r="N173" s="15">
        <f>SUM(N159:N172)</f>
        <v>4.6360000000000005E-2</v>
      </c>
      <c r="O173" s="15"/>
      <c r="P173" s="15">
        <f>SUM(P159:P172)</f>
        <v>2.5626000000000003E-2</v>
      </c>
      <c r="Q173" s="15"/>
      <c r="R173" s="15">
        <f>SUM(R159:R172)</f>
        <v>0</v>
      </c>
      <c r="S173" s="15"/>
      <c r="T173" s="15">
        <f>SUM(T159:T172)</f>
        <v>0</v>
      </c>
      <c r="U173" s="15"/>
      <c r="V173" s="15">
        <f>SUM(V159:V172)</f>
        <v>0</v>
      </c>
      <c r="W173" s="15">
        <f>SUM(W159:W172)</f>
        <v>0.51102499999999995</v>
      </c>
      <c r="Y173" s="13"/>
    </row>
    <row r="174" spans="2:28">
      <c r="B174" s="78" t="s">
        <v>194</v>
      </c>
      <c r="C174" s="78"/>
      <c r="D174" s="78"/>
      <c r="E174" s="83">
        <v>39671956.82</v>
      </c>
      <c r="F174" s="83"/>
      <c r="G174" s="83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5">
        <f>SUM(W159:W172)-(W160+W164)</f>
        <v>0.25978499999999993</v>
      </c>
      <c r="Y174" s="13"/>
    </row>
    <row r="175" spans="2:28">
      <c r="B175" s="16"/>
      <c r="C175" s="16"/>
      <c r="D175" s="16"/>
      <c r="G175" s="14"/>
      <c r="H175" s="14"/>
      <c r="I175" s="14"/>
      <c r="J175" s="14"/>
      <c r="K175" s="84" t="s">
        <v>57</v>
      </c>
      <c r="L175" s="84"/>
      <c r="M175" s="84"/>
      <c r="N175" s="17">
        <v>1484</v>
      </c>
      <c r="O175" s="85">
        <v>46203</v>
      </c>
      <c r="P175" s="85"/>
      <c r="Q175" s="14"/>
      <c r="R175" s="14"/>
      <c r="S175" s="14"/>
      <c r="T175" s="14"/>
      <c r="U175" s="14"/>
      <c r="V175" s="14"/>
      <c r="W175" s="14"/>
      <c r="Y175" s="18"/>
    </row>
    <row r="176" spans="2:28">
      <c r="B176" s="19" t="s">
        <v>58</v>
      </c>
      <c r="C176" s="19"/>
      <c r="F176" s="67">
        <f>SUM(E159:E172)/7</f>
        <v>0.49285714285714288</v>
      </c>
      <c r="G176" s="67"/>
      <c r="H176" s="20"/>
      <c r="I176" s="20"/>
      <c r="Y176" s="21"/>
    </row>
    <row r="177" spans="2:28">
      <c r="B177" s="19" t="s">
        <v>59</v>
      </c>
      <c r="F177" s="67">
        <f>SUM(F159:F172)</f>
        <v>0.48897499999999999</v>
      </c>
      <c r="G177" s="67"/>
      <c r="I177" s="68">
        <f>E174*F177</f>
        <v>19398595.0860595</v>
      </c>
      <c r="J177" s="68"/>
      <c r="K177" s="68"/>
      <c r="M177" s="69">
        <f>I177/N175</f>
        <v>13071.829572816374</v>
      </c>
      <c r="N177" s="69"/>
      <c r="O177" s="69"/>
      <c r="U177" s="13"/>
    </row>
    <row r="178" spans="2:28">
      <c r="U178" s="13"/>
    </row>
    <row r="179" spans="2:28">
      <c r="B179" s="78" t="s">
        <v>60</v>
      </c>
      <c r="C179" s="78"/>
      <c r="D179" s="78"/>
      <c r="F179" s="79">
        <f>1-F176</f>
        <v>0.50714285714285712</v>
      </c>
      <c r="G179" s="79"/>
    </row>
    <row r="180" spans="2:28">
      <c r="B180" s="78" t="s">
        <v>61</v>
      </c>
      <c r="C180" s="78"/>
      <c r="D180" s="78"/>
      <c r="F180" s="79">
        <f>1-F177</f>
        <v>0.51102500000000006</v>
      </c>
      <c r="G180" s="79"/>
      <c r="I180" s="80">
        <f>E174*F180</f>
        <v>20273361.733940504</v>
      </c>
      <c r="J180" s="80"/>
      <c r="K180" s="80"/>
      <c r="M180" s="81">
        <f>I180/N175</f>
        <v>13661.294968962604</v>
      </c>
      <c r="N180" s="81"/>
      <c r="O180" s="81"/>
    </row>
    <row r="182" spans="2:28">
      <c r="B182" s="16" t="s">
        <v>62</v>
      </c>
      <c r="C182" s="16"/>
      <c r="D182" s="16"/>
      <c r="F182" s="62">
        <f>W174/W173</f>
        <v>0.50836064771782197</v>
      </c>
      <c r="G182" s="62"/>
      <c r="I182" s="63">
        <f>I180*F182</f>
        <v>10306179.3024837</v>
      </c>
      <c r="J182" s="63"/>
      <c r="K182" s="63"/>
      <c r="M182" s="64">
        <f>M180*F182</f>
        <v>6944.8647590860519</v>
      </c>
      <c r="N182" s="64"/>
      <c r="O182" s="64"/>
      <c r="P182" s="65" t="s">
        <v>63</v>
      </c>
      <c r="Q182" s="65"/>
      <c r="R182" s="65"/>
      <c r="S182" s="65"/>
      <c r="T182" s="65"/>
    </row>
    <row r="183" spans="2:28">
      <c r="B183" s="16" t="s">
        <v>64</v>
      </c>
      <c r="D183" s="61"/>
      <c r="E183" s="61"/>
      <c r="I183" s="63">
        <f>I180-I182</f>
        <v>9967182.4314568043</v>
      </c>
      <c r="J183" s="63"/>
      <c r="K183" s="63"/>
      <c r="M183" s="64">
        <f>M180-M182</f>
        <v>6716.430209876552</v>
      </c>
      <c r="N183" s="64"/>
      <c r="O183" s="64"/>
      <c r="P183" s="65"/>
      <c r="Q183" s="65"/>
      <c r="R183" s="65"/>
      <c r="S183" s="65"/>
      <c r="T183" s="65"/>
    </row>
    <row r="185" spans="2:28">
      <c r="G185" s="72">
        <f>$E$203*H202</f>
        <v>0</v>
      </c>
      <c r="H185" s="73"/>
      <c r="I185" s="72">
        <f t="shared" ref="I185" si="50">$E$203*J202</f>
        <v>0</v>
      </c>
      <c r="J185" s="73"/>
      <c r="K185" s="72">
        <f t="shared" ref="K185" si="51">$E$203*L202</f>
        <v>0</v>
      </c>
      <c r="L185" s="73"/>
      <c r="M185" s="72">
        <f t="shared" ref="M185" si="52">$E$203*N202</f>
        <v>0</v>
      </c>
      <c r="N185" s="73"/>
      <c r="O185" s="72">
        <f t="shared" ref="O185" si="53">$E$203*P202</f>
        <v>0</v>
      </c>
      <c r="P185" s="73"/>
      <c r="Q185" s="72">
        <f t="shared" ref="Q185" si="54">$E$203*R202</f>
        <v>0</v>
      </c>
      <c r="R185" s="73"/>
      <c r="S185" s="72">
        <f t="shared" ref="S185" si="55">$E$203*T202</f>
        <v>0</v>
      </c>
      <c r="T185" s="73"/>
      <c r="U185" s="72">
        <f t="shared" ref="U185" si="56">$E$203*V202</f>
        <v>0</v>
      </c>
      <c r="V185" s="73"/>
      <c r="W185" s="2"/>
    </row>
    <row r="186" spans="2:28">
      <c r="D186" s="86" t="s">
        <v>2</v>
      </c>
      <c r="E186" s="86" t="s">
        <v>3</v>
      </c>
      <c r="F186" s="87" t="s">
        <v>4</v>
      </c>
      <c r="G186" s="88" t="s">
        <v>5</v>
      </c>
      <c r="H186" s="88"/>
      <c r="I186" s="74" t="s">
        <v>6</v>
      </c>
      <c r="J186" s="74"/>
      <c r="K186" s="74" t="s">
        <v>7</v>
      </c>
      <c r="L186" s="74"/>
      <c r="M186" s="74" t="s">
        <v>8</v>
      </c>
      <c r="N186" s="74"/>
      <c r="O186" s="74" t="s">
        <v>9</v>
      </c>
      <c r="P186" s="74"/>
      <c r="Q186" s="74" t="s">
        <v>10</v>
      </c>
      <c r="R186" s="74"/>
      <c r="S186" s="75" t="s">
        <v>11</v>
      </c>
      <c r="T186" s="75"/>
      <c r="U186" s="75" t="s">
        <v>12</v>
      </c>
      <c r="V186" s="75"/>
      <c r="W186" s="55"/>
    </row>
    <row r="187" spans="2:28">
      <c r="D187" s="86"/>
      <c r="E187" s="86"/>
      <c r="F187" s="87"/>
      <c r="G187" s="76" t="s">
        <v>13</v>
      </c>
      <c r="H187" s="76" t="s">
        <v>14</v>
      </c>
      <c r="I187" s="70" t="s">
        <v>13</v>
      </c>
      <c r="J187" s="70" t="s">
        <v>14</v>
      </c>
      <c r="K187" s="76" t="s">
        <v>13</v>
      </c>
      <c r="L187" s="76" t="s">
        <v>14</v>
      </c>
      <c r="M187" s="70" t="s">
        <v>13</v>
      </c>
      <c r="N187" s="70" t="s">
        <v>14</v>
      </c>
      <c r="O187" s="76" t="s">
        <v>13</v>
      </c>
      <c r="P187" s="76" t="s">
        <v>14</v>
      </c>
      <c r="Q187" s="70" t="s">
        <v>13</v>
      </c>
      <c r="R187" s="70" t="s">
        <v>14</v>
      </c>
      <c r="S187" s="76" t="s">
        <v>13</v>
      </c>
      <c r="T187" s="76" t="s">
        <v>14</v>
      </c>
      <c r="U187" s="70" t="s">
        <v>13</v>
      </c>
      <c r="V187" s="70" t="s">
        <v>14</v>
      </c>
      <c r="W187" s="56"/>
    </row>
    <row r="188" spans="2:28" ht="59.25" customHeight="1">
      <c r="D188" s="86"/>
      <c r="E188" s="86"/>
      <c r="F188" s="87"/>
      <c r="G188" s="77"/>
      <c r="H188" s="77"/>
      <c r="I188" s="71"/>
      <c r="J188" s="71"/>
      <c r="K188" s="77"/>
      <c r="L188" s="77"/>
      <c r="M188" s="71"/>
      <c r="N188" s="71"/>
      <c r="O188" s="77"/>
      <c r="P188" s="77"/>
      <c r="Q188" s="71"/>
      <c r="R188" s="71"/>
      <c r="S188" s="77"/>
      <c r="T188" s="77"/>
      <c r="U188" s="71"/>
      <c r="V188" s="71"/>
      <c r="W188" s="56"/>
      <c r="Y188" s="3" t="s">
        <v>188</v>
      </c>
      <c r="Z188" s="3" t="s">
        <v>189</v>
      </c>
      <c r="AA188" s="3" t="s">
        <v>190</v>
      </c>
      <c r="AB188" s="3" t="s">
        <v>191</v>
      </c>
    </row>
    <row r="189" spans="2:28">
      <c r="B189" s="82" t="s">
        <v>195</v>
      </c>
      <c r="C189" s="5" t="s">
        <v>20</v>
      </c>
      <c r="D189" s="30">
        <v>0.01</v>
      </c>
      <c r="E189" s="7">
        <f>SUM(G189,I189,K189,M189,O189,Q189,S189,U189)</f>
        <v>0.03</v>
      </c>
      <c r="F189" s="8">
        <f>D189*E189</f>
        <v>2.9999999999999997E-4</v>
      </c>
      <c r="G189" s="9">
        <v>0</v>
      </c>
      <c r="H189" s="9">
        <f>G189*D189</f>
        <v>0</v>
      </c>
      <c r="I189" s="10">
        <v>0.03</v>
      </c>
      <c r="J189" s="10">
        <f>I189*D189</f>
        <v>2.9999999999999997E-4</v>
      </c>
      <c r="K189" s="9">
        <v>0</v>
      </c>
      <c r="L189" s="9">
        <f>K189*D189</f>
        <v>0</v>
      </c>
      <c r="M189" s="10">
        <v>0</v>
      </c>
      <c r="N189" s="10">
        <f>M189*D189</f>
        <v>0</v>
      </c>
      <c r="O189" s="9">
        <v>0</v>
      </c>
      <c r="P189" s="9">
        <f>O189*D189</f>
        <v>0</v>
      </c>
      <c r="Q189" s="10">
        <v>0</v>
      </c>
      <c r="R189" s="11">
        <f>Q189*D189</f>
        <v>0</v>
      </c>
      <c r="S189" s="9">
        <v>0</v>
      </c>
      <c r="T189" s="9">
        <f>S189*D189</f>
        <v>0</v>
      </c>
      <c r="U189" s="10">
        <v>0</v>
      </c>
      <c r="V189" s="12">
        <f>U189*D189</f>
        <v>0</v>
      </c>
      <c r="W189" s="40"/>
      <c r="Y189" s="22"/>
      <c r="Z189" s="22"/>
      <c r="AA189" s="23"/>
      <c r="AB189" s="23"/>
    </row>
    <row r="190" spans="2:28">
      <c r="B190" s="82"/>
      <c r="C190" s="5" t="s">
        <v>25</v>
      </c>
      <c r="D190" s="30">
        <v>0.01</v>
      </c>
      <c r="E190" s="7">
        <f t="shared" ref="E190:E201" si="57">SUM(G190,I190,K190,M190,O190,Q190,S190,U190)</f>
        <v>0</v>
      </c>
      <c r="F190" s="8">
        <f t="shared" ref="F190:F201" si="58">D190*E190</f>
        <v>0</v>
      </c>
      <c r="G190" s="9">
        <v>0</v>
      </c>
      <c r="H190" s="9">
        <f t="shared" ref="H190:H201" si="59">G190*D190</f>
        <v>0</v>
      </c>
      <c r="I190" s="10">
        <v>0</v>
      </c>
      <c r="J190" s="10">
        <f t="shared" ref="J190:J201" si="60">I190*D190</f>
        <v>0</v>
      </c>
      <c r="K190" s="9">
        <v>0</v>
      </c>
      <c r="L190" s="9">
        <f t="shared" ref="L190:L201" si="61">K190*D190</f>
        <v>0</v>
      </c>
      <c r="M190" s="10">
        <v>0</v>
      </c>
      <c r="N190" s="10">
        <f t="shared" ref="N190:N201" si="62">M190*D190</f>
        <v>0</v>
      </c>
      <c r="O190" s="9">
        <v>0</v>
      </c>
      <c r="P190" s="9">
        <f t="shared" ref="P190:P201" si="63">O190*D190</f>
        <v>0</v>
      </c>
      <c r="Q190" s="10">
        <v>0</v>
      </c>
      <c r="R190" s="11">
        <f t="shared" ref="R190:R201" si="64">Q190*D190</f>
        <v>0</v>
      </c>
      <c r="S190" s="9">
        <v>0</v>
      </c>
      <c r="T190" s="9">
        <f t="shared" ref="T190:T201" si="65">S190*D190</f>
        <v>0</v>
      </c>
      <c r="U190" s="10">
        <v>0</v>
      </c>
      <c r="V190" s="12">
        <f t="shared" ref="V190:V201" si="66">U190*D190</f>
        <v>0</v>
      </c>
      <c r="W190" s="40"/>
      <c r="Y190" s="22"/>
      <c r="Z190" s="22"/>
      <c r="AA190" s="22"/>
      <c r="AB190" s="22"/>
    </row>
    <row r="191" spans="2:28">
      <c r="B191" s="82"/>
      <c r="C191" s="5" t="s">
        <v>30</v>
      </c>
      <c r="D191" s="30">
        <v>0.01</v>
      </c>
      <c r="E191" s="7">
        <f t="shared" si="57"/>
        <v>0</v>
      </c>
      <c r="F191" s="8">
        <f t="shared" si="58"/>
        <v>0</v>
      </c>
      <c r="G191" s="9">
        <v>0</v>
      </c>
      <c r="H191" s="9">
        <f t="shared" si="59"/>
        <v>0</v>
      </c>
      <c r="I191" s="10">
        <v>0</v>
      </c>
      <c r="J191" s="10">
        <f t="shared" si="60"/>
        <v>0</v>
      </c>
      <c r="K191" s="9">
        <v>0</v>
      </c>
      <c r="L191" s="9">
        <f t="shared" si="61"/>
        <v>0</v>
      </c>
      <c r="M191" s="10">
        <v>0</v>
      </c>
      <c r="N191" s="10">
        <f t="shared" si="62"/>
        <v>0</v>
      </c>
      <c r="O191" s="9">
        <v>0</v>
      </c>
      <c r="P191" s="9">
        <f t="shared" si="63"/>
        <v>0</v>
      </c>
      <c r="Q191" s="10">
        <v>0</v>
      </c>
      <c r="R191" s="11">
        <f t="shared" si="64"/>
        <v>0</v>
      </c>
      <c r="S191" s="9">
        <v>0</v>
      </c>
      <c r="T191" s="9">
        <f t="shared" si="65"/>
        <v>0</v>
      </c>
      <c r="U191" s="10">
        <v>0</v>
      </c>
      <c r="V191" s="12">
        <f t="shared" si="66"/>
        <v>0</v>
      </c>
      <c r="W191" s="40"/>
      <c r="Y191" s="22"/>
      <c r="Z191" s="22"/>
      <c r="AA191" s="22"/>
      <c r="AB191" s="22"/>
    </row>
    <row r="192" spans="2:28">
      <c r="B192" s="82"/>
      <c r="C192" s="5" t="s">
        <v>32</v>
      </c>
      <c r="D192" s="30">
        <v>0.01</v>
      </c>
      <c r="E192" s="7">
        <f t="shared" si="57"/>
        <v>0</v>
      </c>
      <c r="F192" s="8">
        <f t="shared" si="58"/>
        <v>0</v>
      </c>
      <c r="G192" s="9">
        <v>0</v>
      </c>
      <c r="H192" s="9">
        <f t="shared" si="59"/>
        <v>0</v>
      </c>
      <c r="I192" s="10">
        <v>0</v>
      </c>
      <c r="J192" s="10">
        <f t="shared" si="60"/>
        <v>0</v>
      </c>
      <c r="K192" s="9">
        <v>0</v>
      </c>
      <c r="L192" s="9">
        <f t="shared" si="61"/>
        <v>0</v>
      </c>
      <c r="M192" s="10">
        <v>0</v>
      </c>
      <c r="N192" s="10">
        <f t="shared" si="62"/>
        <v>0</v>
      </c>
      <c r="O192" s="9">
        <v>0</v>
      </c>
      <c r="P192" s="9">
        <f t="shared" si="63"/>
        <v>0</v>
      </c>
      <c r="Q192" s="10">
        <v>0</v>
      </c>
      <c r="R192" s="11">
        <f t="shared" si="64"/>
        <v>0</v>
      </c>
      <c r="S192" s="9">
        <v>0</v>
      </c>
      <c r="T192" s="9">
        <f t="shared" si="65"/>
        <v>0</v>
      </c>
      <c r="U192" s="10">
        <v>0</v>
      </c>
      <c r="V192" s="12">
        <f t="shared" si="66"/>
        <v>0</v>
      </c>
      <c r="W192" s="40"/>
      <c r="Y192" s="22"/>
      <c r="Z192" s="23"/>
      <c r="AA192" s="23"/>
      <c r="AB192" s="23"/>
    </row>
    <row r="193" spans="2:28">
      <c r="B193" s="82"/>
      <c r="C193" s="29" t="s">
        <v>37</v>
      </c>
      <c r="D193" s="30">
        <v>0.01</v>
      </c>
      <c r="E193" s="7">
        <f t="shared" si="57"/>
        <v>0</v>
      </c>
      <c r="F193" s="8">
        <f t="shared" si="58"/>
        <v>0</v>
      </c>
      <c r="G193" s="9">
        <v>0</v>
      </c>
      <c r="H193" s="9">
        <f t="shared" si="59"/>
        <v>0</v>
      </c>
      <c r="I193" s="10">
        <v>0</v>
      </c>
      <c r="J193" s="10">
        <f t="shared" si="60"/>
        <v>0</v>
      </c>
      <c r="K193" s="9">
        <v>0</v>
      </c>
      <c r="L193" s="9">
        <f t="shared" si="61"/>
        <v>0</v>
      </c>
      <c r="M193" s="10">
        <v>0</v>
      </c>
      <c r="N193" s="10">
        <f t="shared" si="62"/>
        <v>0</v>
      </c>
      <c r="O193" s="9">
        <v>0</v>
      </c>
      <c r="P193" s="9">
        <f t="shared" si="63"/>
        <v>0</v>
      </c>
      <c r="Q193" s="10">
        <v>0</v>
      </c>
      <c r="R193" s="11">
        <f t="shared" si="64"/>
        <v>0</v>
      </c>
      <c r="S193" s="9">
        <v>0</v>
      </c>
      <c r="T193" s="9">
        <f t="shared" si="65"/>
        <v>0</v>
      </c>
      <c r="U193" s="10">
        <v>0</v>
      </c>
      <c r="V193" s="12">
        <f t="shared" si="66"/>
        <v>0</v>
      </c>
      <c r="W193" s="40"/>
      <c r="Y193" s="22"/>
      <c r="Z193" s="22"/>
      <c r="AA193" s="22"/>
      <c r="AB193" s="22"/>
    </row>
    <row r="194" spans="2:28">
      <c r="B194" s="82"/>
      <c r="C194" s="5" t="s">
        <v>41</v>
      </c>
      <c r="D194" s="30">
        <v>0.01</v>
      </c>
      <c r="E194" s="7">
        <f t="shared" si="57"/>
        <v>0</v>
      </c>
      <c r="F194" s="8">
        <f t="shared" si="58"/>
        <v>0</v>
      </c>
      <c r="G194" s="9">
        <v>0</v>
      </c>
      <c r="H194" s="9">
        <f t="shared" si="59"/>
        <v>0</v>
      </c>
      <c r="I194" s="10">
        <v>0</v>
      </c>
      <c r="J194" s="10">
        <f t="shared" si="60"/>
        <v>0</v>
      </c>
      <c r="K194" s="9">
        <v>0</v>
      </c>
      <c r="L194" s="9">
        <f t="shared" si="61"/>
        <v>0</v>
      </c>
      <c r="M194" s="10">
        <v>0</v>
      </c>
      <c r="N194" s="10">
        <f t="shared" si="62"/>
        <v>0</v>
      </c>
      <c r="O194" s="9">
        <v>0</v>
      </c>
      <c r="P194" s="9">
        <f t="shared" si="63"/>
        <v>0</v>
      </c>
      <c r="Q194" s="10">
        <v>0</v>
      </c>
      <c r="R194" s="11">
        <f t="shared" si="64"/>
        <v>0</v>
      </c>
      <c r="S194" s="9">
        <v>0</v>
      </c>
      <c r="T194" s="9">
        <f t="shared" si="65"/>
        <v>0</v>
      </c>
      <c r="U194" s="10">
        <v>0</v>
      </c>
      <c r="V194" s="12">
        <f t="shared" si="66"/>
        <v>0</v>
      </c>
      <c r="W194" s="40"/>
      <c r="Y194" s="22"/>
      <c r="Z194" s="22"/>
      <c r="AA194" s="22"/>
      <c r="AB194" s="22"/>
    </row>
    <row r="195" spans="2:28">
      <c r="B195" s="82"/>
      <c r="C195" s="5" t="s">
        <v>46</v>
      </c>
      <c r="D195" s="30">
        <v>0.01</v>
      </c>
      <c r="E195" s="7">
        <f t="shared" si="57"/>
        <v>0</v>
      </c>
      <c r="F195" s="8">
        <f t="shared" si="58"/>
        <v>0</v>
      </c>
      <c r="G195" s="9">
        <v>0</v>
      </c>
      <c r="H195" s="9">
        <f t="shared" si="59"/>
        <v>0</v>
      </c>
      <c r="I195" s="10">
        <v>0</v>
      </c>
      <c r="J195" s="10">
        <f t="shared" si="60"/>
        <v>0</v>
      </c>
      <c r="K195" s="9">
        <v>0</v>
      </c>
      <c r="L195" s="9">
        <f t="shared" si="61"/>
        <v>0</v>
      </c>
      <c r="M195" s="10">
        <v>0</v>
      </c>
      <c r="N195" s="10">
        <f t="shared" si="62"/>
        <v>0</v>
      </c>
      <c r="O195" s="9">
        <v>0</v>
      </c>
      <c r="P195" s="9">
        <f t="shared" si="63"/>
        <v>0</v>
      </c>
      <c r="Q195" s="10">
        <v>0</v>
      </c>
      <c r="R195" s="11">
        <f t="shared" si="64"/>
        <v>0</v>
      </c>
      <c r="S195" s="9">
        <v>0</v>
      </c>
      <c r="T195" s="9">
        <f t="shared" si="65"/>
        <v>0</v>
      </c>
      <c r="U195" s="10">
        <v>0</v>
      </c>
      <c r="V195" s="12">
        <f t="shared" si="66"/>
        <v>0</v>
      </c>
      <c r="W195" s="40"/>
      <c r="Y195" s="22"/>
      <c r="Z195" s="22"/>
      <c r="AA195" s="23"/>
      <c r="AB195" s="23"/>
    </row>
    <row r="196" spans="2:28">
      <c r="B196" s="82"/>
      <c r="C196" s="5" t="s">
        <v>51</v>
      </c>
      <c r="D196" s="30">
        <v>0.01</v>
      </c>
      <c r="E196" s="7">
        <f t="shared" si="57"/>
        <v>0</v>
      </c>
      <c r="F196" s="8">
        <f t="shared" si="58"/>
        <v>0</v>
      </c>
      <c r="G196" s="9">
        <v>0</v>
      </c>
      <c r="H196" s="9">
        <f t="shared" si="59"/>
        <v>0</v>
      </c>
      <c r="I196" s="10">
        <v>0</v>
      </c>
      <c r="J196" s="10">
        <f t="shared" si="60"/>
        <v>0</v>
      </c>
      <c r="K196" s="9">
        <v>0</v>
      </c>
      <c r="L196" s="9">
        <f t="shared" si="61"/>
        <v>0</v>
      </c>
      <c r="M196" s="10">
        <v>0</v>
      </c>
      <c r="N196" s="10">
        <f t="shared" si="62"/>
        <v>0</v>
      </c>
      <c r="O196" s="9">
        <v>0</v>
      </c>
      <c r="P196" s="9">
        <f t="shared" si="63"/>
        <v>0</v>
      </c>
      <c r="Q196" s="10">
        <v>0</v>
      </c>
      <c r="R196" s="11">
        <f t="shared" si="64"/>
        <v>0</v>
      </c>
      <c r="S196" s="9">
        <v>0</v>
      </c>
      <c r="T196" s="9">
        <f t="shared" si="65"/>
        <v>0</v>
      </c>
      <c r="U196" s="10">
        <v>0</v>
      </c>
      <c r="V196" s="12">
        <f t="shared" si="66"/>
        <v>0</v>
      </c>
      <c r="W196" s="40"/>
      <c r="Y196" s="22"/>
      <c r="Z196" s="22"/>
      <c r="AA196" s="22"/>
      <c r="AB196" s="23"/>
    </row>
    <row r="197" spans="2:28">
      <c r="B197" s="82"/>
      <c r="C197" s="5" t="s">
        <v>55</v>
      </c>
      <c r="D197" s="30">
        <v>0</v>
      </c>
      <c r="E197" s="7">
        <f t="shared" si="57"/>
        <v>0</v>
      </c>
      <c r="F197" s="8">
        <f t="shared" si="58"/>
        <v>0</v>
      </c>
      <c r="G197" s="9">
        <v>0</v>
      </c>
      <c r="H197" s="9">
        <f t="shared" si="59"/>
        <v>0</v>
      </c>
      <c r="I197" s="10">
        <v>0</v>
      </c>
      <c r="J197" s="10">
        <f t="shared" si="60"/>
        <v>0</v>
      </c>
      <c r="K197" s="9">
        <v>0</v>
      </c>
      <c r="L197" s="9">
        <f t="shared" si="61"/>
        <v>0</v>
      </c>
      <c r="M197" s="10">
        <v>0</v>
      </c>
      <c r="N197" s="10">
        <f t="shared" si="62"/>
        <v>0</v>
      </c>
      <c r="O197" s="9">
        <v>0</v>
      </c>
      <c r="P197" s="9">
        <f t="shared" si="63"/>
        <v>0</v>
      </c>
      <c r="Q197" s="10">
        <v>0</v>
      </c>
      <c r="R197" s="11">
        <f t="shared" si="64"/>
        <v>0</v>
      </c>
      <c r="S197" s="9">
        <v>0</v>
      </c>
      <c r="T197" s="9">
        <f t="shared" si="65"/>
        <v>0</v>
      </c>
      <c r="U197" s="10">
        <v>0</v>
      </c>
      <c r="V197" s="12">
        <f t="shared" si="66"/>
        <v>0</v>
      </c>
      <c r="W197" s="40"/>
      <c r="Y197" s="22"/>
      <c r="Z197" s="22"/>
      <c r="AA197" s="23"/>
      <c r="AB197" s="23"/>
    </row>
    <row r="198" spans="2:28">
      <c r="B198" s="82"/>
      <c r="C198" s="5" t="s">
        <v>55</v>
      </c>
      <c r="D198" s="30">
        <v>0</v>
      </c>
      <c r="E198" s="7">
        <f>SUM(G198,I198,K198,M198,O198,Q198,S198,U198)</f>
        <v>0</v>
      </c>
      <c r="F198" s="8">
        <f t="shared" si="58"/>
        <v>0</v>
      </c>
      <c r="G198" s="9">
        <v>0</v>
      </c>
      <c r="H198" s="9">
        <f t="shared" si="59"/>
        <v>0</v>
      </c>
      <c r="I198" s="10">
        <v>0</v>
      </c>
      <c r="J198" s="10">
        <f t="shared" si="60"/>
        <v>0</v>
      </c>
      <c r="K198" s="9">
        <v>0</v>
      </c>
      <c r="L198" s="9">
        <f t="shared" si="61"/>
        <v>0</v>
      </c>
      <c r="M198" s="10">
        <v>0</v>
      </c>
      <c r="N198" s="10">
        <f t="shared" si="62"/>
        <v>0</v>
      </c>
      <c r="O198" s="9">
        <v>0</v>
      </c>
      <c r="P198" s="9">
        <f t="shared" si="63"/>
        <v>0</v>
      </c>
      <c r="Q198" s="10">
        <v>0</v>
      </c>
      <c r="R198" s="11">
        <f t="shared" si="64"/>
        <v>0</v>
      </c>
      <c r="S198" s="9">
        <v>0</v>
      </c>
      <c r="T198" s="9">
        <f t="shared" si="65"/>
        <v>0</v>
      </c>
      <c r="U198" s="10">
        <v>0</v>
      </c>
      <c r="V198" s="12">
        <f t="shared" si="66"/>
        <v>0</v>
      </c>
      <c r="W198" s="40"/>
      <c r="Y198" s="22"/>
      <c r="Z198" s="22"/>
      <c r="AA198" s="22"/>
      <c r="AB198" s="22"/>
    </row>
    <row r="199" spans="2:28">
      <c r="B199" s="82"/>
      <c r="C199" s="5" t="s">
        <v>55</v>
      </c>
      <c r="D199" s="30">
        <v>0</v>
      </c>
      <c r="E199" s="7">
        <f t="shared" si="57"/>
        <v>0</v>
      </c>
      <c r="F199" s="8">
        <f t="shared" si="58"/>
        <v>0</v>
      </c>
      <c r="G199" s="9">
        <v>0</v>
      </c>
      <c r="H199" s="9">
        <f t="shared" si="59"/>
        <v>0</v>
      </c>
      <c r="I199" s="10">
        <v>0</v>
      </c>
      <c r="J199" s="10">
        <f t="shared" si="60"/>
        <v>0</v>
      </c>
      <c r="K199" s="9">
        <v>0</v>
      </c>
      <c r="L199" s="9">
        <f t="shared" si="61"/>
        <v>0</v>
      </c>
      <c r="M199" s="10">
        <v>0</v>
      </c>
      <c r="N199" s="10">
        <f t="shared" si="62"/>
        <v>0</v>
      </c>
      <c r="O199" s="9">
        <v>0</v>
      </c>
      <c r="P199" s="9">
        <f t="shared" si="63"/>
        <v>0</v>
      </c>
      <c r="Q199" s="10">
        <v>0</v>
      </c>
      <c r="R199" s="11">
        <f t="shared" si="64"/>
        <v>0</v>
      </c>
      <c r="S199" s="9">
        <v>0</v>
      </c>
      <c r="T199" s="9">
        <f t="shared" si="65"/>
        <v>0</v>
      </c>
      <c r="U199" s="10">
        <v>0</v>
      </c>
      <c r="V199" s="12">
        <f t="shared" si="66"/>
        <v>0</v>
      </c>
      <c r="W199" s="40"/>
      <c r="Y199" s="22"/>
      <c r="Z199" s="23"/>
      <c r="AA199" s="23"/>
      <c r="AB199" s="23"/>
    </row>
    <row r="200" spans="2:28">
      <c r="B200" s="82"/>
      <c r="C200" s="5" t="s">
        <v>55</v>
      </c>
      <c r="D200" s="30">
        <v>0</v>
      </c>
      <c r="E200" s="7">
        <f t="shared" si="57"/>
        <v>0</v>
      </c>
      <c r="F200" s="8">
        <f t="shared" si="58"/>
        <v>0</v>
      </c>
      <c r="G200" s="9">
        <v>0</v>
      </c>
      <c r="H200" s="9">
        <f t="shared" si="59"/>
        <v>0</v>
      </c>
      <c r="I200" s="10">
        <v>0</v>
      </c>
      <c r="J200" s="10">
        <f t="shared" si="60"/>
        <v>0</v>
      </c>
      <c r="K200" s="9">
        <v>0</v>
      </c>
      <c r="L200" s="9">
        <f t="shared" si="61"/>
        <v>0</v>
      </c>
      <c r="M200" s="10">
        <v>0</v>
      </c>
      <c r="N200" s="10">
        <f t="shared" si="62"/>
        <v>0</v>
      </c>
      <c r="O200" s="9">
        <v>0</v>
      </c>
      <c r="P200" s="9">
        <f t="shared" si="63"/>
        <v>0</v>
      </c>
      <c r="Q200" s="10">
        <v>0</v>
      </c>
      <c r="R200" s="11">
        <f t="shared" si="64"/>
        <v>0</v>
      </c>
      <c r="S200" s="9">
        <v>0</v>
      </c>
      <c r="T200" s="9">
        <f t="shared" si="65"/>
        <v>0</v>
      </c>
      <c r="U200" s="10">
        <v>0</v>
      </c>
      <c r="V200" s="12">
        <f t="shared" si="66"/>
        <v>0</v>
      </c>
      <c r="W200" s="40"/>
      <c r="Y200" s="22"/>
      <c r="Z200" s="23"/>
      <c r="AA200" s="23"/>
      <c r="AB200" s="23"/>
    </row>
    <row r="201" spans="2:28">
      <c r="B201" s="82"/>
      <c r="C201" s="5" t="s">
        <v>55</v>
      </c>
      <c r="D201" s="30">
        <v>0</v>
      </c>
      <c r="E201" s="7">
        <f t="shared" si="57"/>
        <v>0</v>
      </c>
      <c r="F201" s="8">
        <f t="shared" si="58"/>
        <v>0</v>
      </c>
      <c r="G201" s="9">
        <v>0</v>
      </c>
      <c r="H201" s="9">
        <f t="shared" si="59"/>
        <v>0</v>
      </c>
      <c r="I201" s="10">
        <v>0</v>
      </c>
      <c r="J201" s="10">
        <f t="shared" si="60"/>
        <v>0</v>
      </c>
      <c r="K201" s="9">
        <v>0</v>
      </c>
      <c r="L201" s="9">
        <f t="shared" si="61"/>
        <v>0</v>
      </c>
      <c r="M201" s="10">
        <v>0</v>
      </c>
      <c r="N201" s="10">
        <f t="shared" si="62"/>
        <v>0</v>
      </c>
      <c r="O201" s="9">
        <v>0</v>
      </c>
      <c r="P201" s="9">
        <f t="shared" si="63"/>
        <v>0</v>
      </c>
      <c r="Q201" s="10">
        <v>0</v>
      </c>
      <c r="R201" s="11">
        <f t="shared" si="64"/>
        <v>0</v>
      </c>
      <c r="S201" s="9">
        <v>0</v>
      </c>
      <c r="T201" s="9">
        <f t="shared" si="65"/>
        <v>0</v>
      </c>
      <c r="U201" s="10">
        <v>0</v>
      </c>
      <c r="V201" s="12">
        <f t="shared" si="66"/>
        <v>0</v>
      </c>
      <c r="W201" s="40"/>
      <c r="Y201" s="22"/>
      <c r="Z201" s="23"/>
      <c r="AA201" s="23"/>
      <c r="AB201" s="23"/>
    </row>
    <row r="202" spans="2:28">
      <c r="D202" s="13"/>
      <c r="G202" s="14"/>
      <c r="H202" s="15">
        <f>SUM(H189:H201)</f>
        <v>0</v>
      </c>
      <c r="I202" s="15"/>
      <c r="J202" s="15">
        <f>SUM(J189:J201)</f>
        <v>2.9999999999999997E-4</v>
      </c>
      <c r="K202" s="15"/>
      <c r="L202" s="15">
        <f>SUM(L189:L201)</f>
        <v>0</v>
      </c>
      <c r="M202" s="15"/>
      <c r="N202" s="15">
        <f>SUM(N189:N201)</f>
        <v>0</v>
      </c>
      <c r="O202" s="15"/>
      <c r="P202" s="15">
        <f>SUM(P189:P201)</f>
        <v>0</v>
      </c>
      <c r="Q202" s="15"/>
      <c r="R202" s="15">
        <f>SUM(R189:R201)</f>
        <v>0</v>
      </c>
      <c r="S202" s="15"/>
      <c r="T202" s="15">
        <f>SUM(T189:T201)</f>
        <v>0</v>
      </c>
      <c r="U202" s="15"/>
      <c r="V202" s="15">
        <f>SUM(V189:V201)</f>
        <v>0</v>
      </c>
      <c r="W202" s="15"/>
      <c r="Y202" s="13"/>
    </row>
    <row r="203" spans="2:28">
      <c r="B203" s="78" t="s">
        <v>196</v>
      </c>
      <c r="C203" s="78"/>
      <c r="D203" s="78"/>
      <c r="E203" s="83"/>
      <c r="F203" s="83"/>
      <c r="G203" s="83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Y203" s="13"/>
    </row>
    <row r="204" spans="2:28">
      <c r="B204" s="16"/>
      <c r="C204" s="16"/>
      <c r="D204" s="16"/>
      <c r="G204" s="14"/>
      <c r="H204" s="14"/>
      <c r="I204" s="14"/>
      <c r="J204" s="14"/>
      <c r="K204" s="84" t="s">
        <v>57</v>
      </c>
      <c r="L204" s="84"/>
      <c r="M204" s="84"/>
      <c r="N204" s="17">
        <v>1380</v>
      </c>
      <c r="O204" s="85" t="s">
        <v>197</v>
      </c>
      <c r="P204" s="85"/>
      <c r="Q204" s="14"/>
      <c r="R204" s="14"/>
      <c r="S204" s="14"/>
      <c r="T204" s="14"/>
      <c r="U204" s="14"/>
      <c r="V204" s="14"/>
      <c r="W204" s="14"/>
      <c r="Y204" s="18"/>
    </row>
    <row r="205" spans="2:28">
      <c r="B205" s="19" t="s">
        <v>58</v>
      </c>
      <c r="C205" s="19"/>
      <c r="F205" s="67">
        <f>SUM(E189:E201)/10</f>
        <v>3.0000000000000001E-3</v>
      </c>
      <c r="G205" s="67"/>
      <c r="H205" s="20"/>
      <c r="I205" s="20"/>
      <c r="Y205" s="21"/>
    </row>
    <row r="206" spans="2:28">
      <c r="B206" s="19" t="s">
        <v>59</v>
      </c>
      <c r="F206" s="67">
        <f>SUM(F189:F201)</f>
        <v>2.9999999999999997E-4</v>
      </c>
      <c r="G206" s="67"/>
      <c r="I206" s="68">
        <f>E203*F206</f>
        <v>0</v>
      </c>
      <c r="J206" s="68"/>
      <c r="K206" s="68"/>
      <c r="M206" s="69">
        <f>I206/N204</f>
        <v>0</v>
      </c>
      <c r="N206" s="69"/>
      <c r="O206" s="69"/>
    </row>
    <row r="208" spans="2:28">
      <c r="B208" s="78" t="s">
        <v>60</v>
      </c>
      <c r="C208" s="78"/>
      <c r="D208" s="78"/>
      <c r="F208" s="79">
        <f>1-F205</f>
        <v>0.997</v>
      </c>
      <c r="G208" s="79"/>
    </row>
    <row r="209" spans="2:28">
      <c r="B209" s="78" t="s">
        <v>61</v>
      </c>
      <c r="C209" s="78"/>
      <c r="D209" s="78"/>
      <c r="F209" s="79">
        <f>1-F206</f>
        <v>0.99970000000000003</v>
      </c>
      <c r="G209" s="79"/>
      <c r="I209" s="80">
        <f>E203*F209</f>
        <v>0</v>
      </c>
      <c r="J209" s="80"/>
      <c r="K209" s="80"/>
      <c r="M209" s="81">
        <f>I209/N204</f>
        <v>0</v>
      </c>
      <c r="N209" s="81"/>
      <c r="O209" s="81"/>
    </row>
    <row r="211" spans="2:28">
      <c r="B211" s="16" t="s">
        <v>62</v>
      </c>
      <c r="C211" s="16"/>
      <c r="D211" s="16"/>
      <c r="F211" s="62">
        <f>1-(F191+F192+F194+F195+F196+F197+F198)</f>
        <v>1</v>
      </c>
      <c r="G211" s="62"/>
      <c r="I211" s="63">
        <f>I209*F211</f>
        <v>0</v>
      </c>
      <c r="J211" s="63"/>
      <c r="K211" s="63"/>
      <c r="M211" s="64">
        <f>M209*F211</f>
        <v>0</v>
      </c>
      <c r="N211" s="64"/>
      <c r="O211" s="64"/>
      <c r="P211" s="65" t="s">
        <v>63</v>
      </c>
      <c r="Q211" s="65"/>
      <c r="R211" s="65"/>
      <c r="S211" s="65"/>
      <c r="T211" s="65"/>
    </row>
    <row r="212" spans="2:28">
      <c r="B212" s="16" t="s">
        <v>64</v>
      </c>
      <c r="F212" s="66"/>
      <c r="G212" s="66"/>
      <c r="I212" s="63">
        <f>I209-I211</f>
        <v>0</v>
      </c>
      <c r="J212" s="63"/>
      <c r="K212" s="63"/>
      <c r="M212" s="64">
        <f>M209-M211</f>
        <v>0</v>
      </c>
      <c r="N212" s="64"/>
      <c r="O212" s="64"/>
      <c r="P212" s="65"/>
      <c r="Q212" s="65"/>
      <c r="R212" s="65"/>
      <c r="S212" s="65"/>
      <c r="T212" s="65"/>
    </row>
    <row r="214" spans="2:28">
      <c r="G214" s="72">
        <f>$E$232*H231</f>
        <v>0</v>
      </c>
      <c r="H214" s="73"/>
      <c r="I214" s="72">
        <f t="shared" ref="I214" si="67">$E$232*J231</f>
        <v>0</v>
      </c>
      <c r="J214" s="73"/>
      <c r="K214" s="72">
        <f t="shared" ref="K214" si="68">$E$232*L231</f>
        <v>0</v>
      </c>
      <c r="L214" s="73"/>
      <c r="M214" s="72">
        <f t="shared" ref="M214" si="69">$E$232*N231</f>
        <v>0</v>
      </c>
      <c r="N214" s="73"/>
      <c r="O214" s="72">
        <f t="shared" ref="O214" si="70">$E$232*P231</f>
        <v>0</v>
      </c>
      <c r="P214" s="73"/>
      <c r="Q214" s="72">
        <f t="shared" ref="Q214" si="71">$E$232*R231</f>
        <v>0</v>
      </c>
      <c r="R214" s="73"/>
      <c r="S214" s="72">
        <f t="shared" ref="S214" si="72">$E$232*T231</f>
        <v>0</v>
      </c>
      <c r="T214" s="73"/>
      <c r="U214" s="72">
        <f t="shared" ref="U214" si="73">$E$232*V231</f>
        <v>0</v>
      </c>
      <c r="V214" s="73"/>
      <c r="W214" s="2"/>
    </row>
    <row r="215" spans="2:28" ht="15" customHeight="1">
      <c r="D215" s="86" t="s">
        <v>2</v>
      </c>
      <c r="E215" s="86" t="s">
        <v>3</v>
      </c>
      <c r="F215" s="87" t="s">
        <v>4</v>
      </c>
      <c r="G215" s="88" t="s">
        <v>5</v>
      </c>
      <c r="H215" s="88"/>
      <c r="I215" s="74" t="s">
        <v>6</v>
      </c>
      <c r="J215" s="74"/>
      <c r="K215" s="74" t="s">
        <v>7</v>
      </c>
      <c r="L215" s="74"/>
      <c r="M215" s="74" t="s">
        <v>8</v>
      </c>
      <c r="N215" s="74"/>
      <c r="O215" s="74" t="s">
        <v>9</v>
      </c>
      <c r="P215" s="74"/>
      <c r="Q215" s="74" t="s">
        <v>10</v>
      </c>
      <c r="R215" s="74"/>
      <c r="S215" s="75" t="s">
        <v>11</v>
      </c>
      <c r="T215" s="75"/>
      <c r="U215" s="75" t="s">
        <v>12</v>
      </c>
      <c r="V215" s="75"/>
      <c r="W215" s="55"/>
    </row>
    <row r="216" spans="2:28" ht="15" customHeight="1">
      <c r="D216" s="86"/>
      <c r="E216" s="86"/>
      <c r="F216" s="87"/>
      <c r="G216" s="76" t="s">
        <v>13</v>
      </c>
      <c r="H216" s="76" t="s">
        <v>14</v>
      </c>
      <c r="I216" s="70" t="s">
        <v>13</v>
      </c>
      <c r="J216" s="70" t="s">
        <v>14</v>
      </c>
      <c r="K216" s="76" t="s">
        <v>13</v>
      </c>
      <c r="L216" s="76" t="s">
        <v>14</v>
      </c>
      <c r="M216" s="70" t="s">
        <v>13</v>
      </c>
      <c r="N216" s="70" t="s">
        <v>14</v>
      </c>
      <c r="O216" s="76" t="s">
        <v>13</v>
      </c>
      <c r="P216" s="76" t="s">
        <v>14</v>
      </c>
      <c r="Q216" s="70" t="s">
        <v>13</v>
      </c>
      <c r="R216" s="70" t="s">
        <v>14</v>
      </c>
      <c r="S216" s="76" t="s">
        <v>13</v>
      </c>
      <c r="T216" s="76" t="s">
        <v>14</v>
      </c>
      <c r="U216" s="70" t="s">
        <v>13</v>
      </c>
      <c r="V216" s="70" t="s">
        <v>14</v>
      </c>
      <c r="W216" s="56"/>
    </row>
    <row r="217" spans="2:28" ht="57.75" customHeight="1">
      <c r="D217" s="86"/>
      <c r="E217" s="86"/>
      <c r="F217" s="87"/>
      <c r="G217" s="77"/>
      <c r="H217" s="77"/>
      <c r="I217" s="71"/>
      <c r="J217" s="71"/>
      <c r="K217" s="77"/>
      <c r="L217" s="77"/>
      <c r="M217" s="71"/>
      <c r="N217" s="71"/>
      <c r="O217" s="77"/>
      <c r="P217" s="77"/>
      <c r="Q217" s="71"/>
      <c r="R217" s="71"/>
      <c r="S217" s="77"/>
      <c r="T217" s="77"/>
      <c r="U217" s="71"/>
      <c r="V217" s="71"/>
      <c r="W217" s="56"/>
      <c r="Y217" s="3" t="s">
        <v>188</v>
      </c>
      <c r="Z217" s="3" t="s">
        <v>189</v>
      </c>
      <c r="AA217" s="3" t="s">
        <v>190</v>
      </c>
      <c r="AB217" s="3" t="s">
        <v>191</v>
      </c>
    </row>
    <row r="218" spans="2:28" ht="15" customHeight="1">
      <c r="B218" s="82" t="s">
        <v>198</v>
      </c>
      <c r="C218" s="5" t="s">
        <v>20</v>
      </c>
      <c r="D218" s="30">
        <v>0.01</v>
      </c>
      <c r="E218" s="31">
        <f>SUM(G218,I218,K218,M218,O218,Q218,S218,U218)</f>
        <v>0</v>
      </c>
      <c r="F218" s="32">
        <f>D218*E218</f>
        <v>0</v>
      </c>
      <c r="G218" s="9">
        <v>0</v>
      </c>
      <c r="H218" s="9">
        <f>G218*D218</f>
        <v>0</v>
      </c>
      <c r="I218" s="10">
        <v>0</v>
      </c>
      <c r="J218" s="10">
        <f>I218*D218</f>
        <v>0</v>
      </c>
      <c r="K218" s="9">
        <v>0</v>
      </c>
      <c r="L218" s="9">
        <f>K218*D218</f>
        <v>0</v>
      </c>
      <c r="M218" s="10">
        <v>0</v>
      </c>
      <c r="N218" s="10">
        <f>M218*D218</f>
        <v>0</v>
      </c>
      <c r="O218" s="9">
        <v>0</v>
      </c>
      <c r="P218" s="9">
        <f>O218*D218</f>
        <v>0</v>
      </c>
      <c r="Q218" s="10">
        <v>0</v>
      </c>
      <c r="R218" s="11">
        <f>Q218*D218</f>
        <v>0</v>
      </c>
      <c r="S218" s="9">
        <v>0</v>
      </c>
      <c r="T218" s="9">
        <f>S218*D218</f>
        <v>0</v>
      </c>
      <c r="U218" s="10">
        <v>0</v>
      </c>
      <c r="V218" s="12">
        <f>U218*D218</f>
        <v>0</v>
      </c>
      <c r="W218" s="40"/>
      <c r="Y218" s="22"/>
      <c r="Z218" s="22"/>
      <c r="AA218" s="23"/>
      <c r="AB218" s="23"/>
    </row>
    <row r="219" spans="2:28">
      <c r="B219" s="82"/>
      <c r="C219" s="5" t="s">
        <v>25</v>
      </c>
      <c r="D219" s="30">
        <v>0.01</v>
      </c>
      <c r="E219" s="31">
        <f t="shared" ref="E219:E230" si="74">SUM(G219,I219,K219,M219,O219,Q219,S219,U219)</f>
        <v>0</v>
      </c>
      <c r="F219" s="32">
        <f t="shared" ref="F219:F230" si="75">D219*E219</f>
        <v>0</v>
      </c>
      <c r="G219" s="9">
        <v>0</v>
      </c>
      <c r="H219" s="9">
        <f t="shared" ref="H219:H230" si="76">G219*D219</f>
        <v>0</v>
      </c>
      <c r="I219" s="10">
        <v>0</v>
      </c>
      <c r="J219" s="10">
        <f t="shared" ref="J219:J230" si="77">I219*D219</f>
        <v>0</v>
      </c>
      <c r="K219" s="9">
        <v>0</v>
      </c>
      <c r="L219" s="9">
        <f t="shared" ref="L219:L230" si="78">K219*D219</f>
        <v>0</v>
      </c>
      <c r="M219" s="10">
        <v>0</v>
      </c>
      <c r="N219" s="10">
        <f t="shared" ref="N219:N230" si="79">M219*D219</f>
        <v>0</v>
      </c>
      <c r="O219" s="9">
        <v>0</v>
      </c>
      <c r="P219" s="9">
        <f t="shared" ref="P219:P230" si="80">O219*D219</f>
        <v>0</v>
      </c>
      <c r="Q219" s="10">
        <v>0</v>
      </c>
      <c r="R219" s="11">
        <f t="shared" ref="R219:R230" si="81">Q219*D219</f>
        <v>0</v>
      </c>
      <c r="S219" s="9">
        <v>0</v>
      </c>
      <c r="T219" s="9">
        <f t="shared" ref="T219:T230" si="82">S219*D219</f>
        <v>0</v>
      </c>
      <c r="U219" s="10">
        <v>0</v>
      </c>
      <c r="V219" s="12">
        <f t="shared" ref="V219:V230" si="83">U219*D219</f>
        <v>0</v>
      </c>
      <c r="W219" s="40"/>
      <c r="Y219" s="22"/>
      <c r="Z219" s="22"/>
      <c r="AA219" s="22"/>
      <c r="AB219" s="22"/>
    </row>
    <row r="220" spans="2:28">
      <c r="B220" s="82"/>
      <c r="C220" s="5" t="s">
        <v>30</v>
      </c>
      <c r="D220" s="30">
        <v>0.01</v>
      </c>
      <c r="E220" s="31">
        <f t="shared" si="74"/>
        <v>0</v>
      </c>
      <c r="F220" s="32">
        <f t="shared" si="75"/>
        <v>0</v>
      </c>
      <c r="G220" s="9">
        <v>0</v>
      </c>
      <c r="H220" s="9">
        <f t="shared" si="76"/>
        <v>0</v>
      </c>
      <c r="I220" s="10">
        <v>0</v>
      </c>
      <c r="J220" s="10">
        <f t="shared" si="77"/>
        <v>0</v>
      </c>
      <c r="K220" s="9">
        <v>0</v>
      </c>
      <c r="L220" s="9">
        <f t="shared" si="78"/>
        <v>0</v>
      </c>
      <c r="M220" s="10">
        <v>0</v>
      </c>
      <c r="N220" s="10">
        <f t="shared" si="79"/>
        <v>0</v>
      </c>
      <c r="O220" s="9">
        <v>0</v>
      </c>
      <c r="P220" s="9">
        <f t="shared" si="80"/>
        <v>0</v>
      </c>
      <c r="Q220" s="10">
        <v>0</v>
      </c>
      <c r="R220" s="11">
        <f t="shared" si="81"/>
        <v>0</v>
      </c>
      <c r="S220" s="9">
        <v>0</v>
      </c>
      <c r="T220" s="9">
        <f t="shared" si="82"/>
        <v>0</v>
      </c>
      <c r="U220" s="10">
        <v>0</v>
      </c>
      <c r="V220" s="12">
        <f t="shared" si="83"/>
        <v>0</v>
      </c>
      <c r="W220" s="40"/>
      <c r="Y220" s="22"/>
      <c r="Z220" s="22"/>
      <c r="AA220" s="22"/>
      <c r="AB220" s="22"/>
    </row>
    <row r="221" spans="2:28">
      <c r="B221" s="82"/>
      <c r="C221" s="5" t="s">
        <v>32</v>
      </c>
      <c r="D221" s="30">
        <v>0.01</v>
      </c>
      <c r="E221" s="31">
        <f t="shared" si="74"/>
        <v>0</v>
      </c>
      <c r="F221" s="32">
        <f t="shared" si="75"/>
        <v>0</v>
      </c>
      <c r="G221" s="9">
        <v>0</v>
      </c>
      <c r="H221" s="9">
        <f t="shared" si="76"/>
        <v>0</v>
      </c>
      <c r="I221" s="10">
        <v>0</v>
      </c>
      <c r="J221" s="10">
        <f t="shared" si="77"/>
        <v>0</v>
      </c>
      <c r="K221" s="9">
        <v>0</v>
      </c>
      <c r="L221" s="9">
        <f t="shared" si="78"/>
        <v>0</v>
      </c>
      <c r="M221" s="10">
        <v>0</v>
      </c>
      <c r="N221" s="10">
        <f t="shared" si="79"/>
        <v>0</v>
      </c>
      <c r="O221" s="9">
        <v>0</v>
      </c>
      <c r="P221" s="9">
        <f t="shared" si="80"/>
        <v>0</v>
      </c>
      <c r="Q221" s="10">
        <v>0</v>
      </c>
      <c r="R221" s="11">
        <f t="shared" si="81"/>
        <v>0</v>
      </c>
      <c r="S221" s="9">
        <v>0</v>
      </c>
      <c r="T221" s="9">
        <f t="shared" si="82"/>
        <v>0</v>
      </c>
      <c r="U221" s="10">
        <v>0</v>
      </c>
      <c r="V221" s="12">
        <f t="shared" si="83"/>
        <v>0</v>
      </c>
      <c r="W221" s="40"/>
      <c r="Y221" s="22"/>
      <c r="Z221" s="23"/>
      <c r="AA221" s="23"/>
      <c r="AB221" s="23"/>
    </row>
    <row r="222" spans="2:28">
      <c r="B222" s="82"/>
      <c r="C222" s="29" t="s">
        <v>37</v>
      </c>
      <c r="D222" s="30">
        <v>0.01</v>
      </c>
      <c r="E222" s="31">
        <f t="shared" si="74"/>
        <v>0</v>
      </c>
      <c r="F222" s="32">
        <f t="shared" si="75"/>
        <v>0</v>
      </c>
      <c r="G222" s="9">
        <v>0</v>
      </c>
      <c r="H222" s="9">
        <f t="shared" si="76"/>
        <v>0</v>
      </c>
      <c r="I222" s="10">
        <v>0</v>
      </c>
      <c r="J222" s="10">
        <f t="shared" si="77"/>
        <v>0</v>
      </c>
      <c r="K222" s="9">
        <v>0</v>
      </c>
      <c r="L222" s="9">
        <f t="shared" si="78"/>
        <v>0</v>
      </c>
      <c r="M222" s="10">
        <v>0</v>
      </c>
      <c r="N222" s="10">
        <f t="shared" si="79"/>
        <v>0</v>
      </c>
      <c r="O222" s="9">
        <v>0</v>
      </c>
      <c r="P222" s="9">
        <f t="shared" si="80"/>
        <v>0</v>
      </c>
      <c r="Q222" s="10">
        <v>0</v>
      </c>
      <c r="R222" s="11">
        <f t="shared" si="81"/>
        <v>0</v>
      </c>
      <c r="S222" s="9">
        <v>0</v>
      </c>
      <c r="T222" s="9">
        <f t="shared" si="82"/>
        <v>0</v>
      </c>
      <c r="U222" s="10">
        <v>0</v>
      </c>
      <c r="V222" s="12">
        <f t="shared" si="83"/>
        <v>0</v>
      </c>
      <c r="W222" s="40"/>
      <c r="Y222" s="22"/>
      <c r="Z222" s="22"/>
      <c r="AA222" s="22"/>
      <c r="AB222" s="22"/>
    </row>
    <row r="223" spans="2:28">
      <c r="B223" s="82"/>
      <c r="C223" s="5" t="s">
        <v>41</v>
      </c>
      <c r="D223" s="30">
        <v>0.01</v>
      </c>
      <c r="E223" s="31">
        <f t="shared" si="74"/>
        <v>0</v>
      </c>
      <c r="F223" s="32">
        <f t="shared" si="75"/>
        <v>0</v>
      </c>
      <c r="G223" s="9">
        <v>0</v>
      </c>
      <c r="H223" s="9">
        <f t="shared" si="76"/>
        <v>0</v>
      </c>
      <c r="I223" s="10">
        <v>0</v>
      </c>
      <c r="J223" s="10">
        <f t="shared" si="77"/>
        <v>0</v>
      </c>
      <c r="K223" s="9">
        <v>0</v>
      </c>
      <c r="L223" s="9">
        <f t="shared" si="78"/>
        <v>0</v>
      </c>
      <c r="M223" s="10">
        <v>0</v>
      </c>
      <c r="N223" s="10">
        <f t="shared" si="79"/>
        <v>0</v>
      </c>
      <c r="O223" s="9">
        <v>0</v>
      </c>
      <c r="P223" s="9">
        <f t="shared" si="80"/>
        <v>0</v>
      </c>
      <c r="Q223" s="10">
        <v>0</v>
      </c>
      <c r="R223" s="11">
        <f t="shared" si="81"/>
        <v>0</v>
      </c>
      <c r="S223" s="9">
        <v>0</v>
      </c>
      <c r="T223" s="9">
        <f t="shared" si="82"/>
        <v>0</v>
      </c>
      <c r="U223" s="10">
        <v>0</v>
      </c>
      <c r="V223" s="12">
        <f t="shared" si="83"/>
        <v>0</v>
      </c>
      <c r="W223" s="40"/>
      <c r="Y223" s="22"/>
      <c r="Z223" s="22"/>
      <c r="AA223" s="22"/>
      <c r="AB223" s="22"/>
    </row>
    <row r="224" spans="2:28">
      <c r="B224" s="82"/>
      <c r="C224" s="5" t="s">
        <v>46</v>
      </c>
      <c r="D224" s="30">
        <v>0.01</v>
      </c>
      <c r="E224" s="31">
        <f t="shared" si="74"/>
        <v>0</v>
      </c>
      <c r="F224" s="32">
        <f t="shared" si="75"/>
        <v>0</v>
      </c>
      <c r="G224" s="9">
        <v>0</v>
      </c>
      <c r="H224" s="9">
        <f t="shared" si="76"/>
        <v>0</v>
      </c>
      <c r="I224" s="10">
        <v>0</v>
      </c>
      <c r="J224" s="10">
        <f t="shared" si="77"/>
        <v>0</v>
      </c>
      <c r="K224" s="9">
        <v>0</v>
      </c>
      <c r="L224" s="9">
        <f t="shared" si="78"/>
        <v>0</v>
      </c>
      <c r="M224" s="10">
        <v>0</v>
      </c>
      <c r="N224" s="10">
        <f t="shared" si="79"/>
        <v>0</v>
      </c>
      <c r="O224" s="9">
        <v>0</v>
      </c>
      <c r="P224" s="9">
        <f t="shared" si="80"/>
        <v>0</v>
      </c>
      <c r="Q224" s="10">
        <v>0</v>
      </c>
      <c r="R224" s="11">
        <f t="shared" si="81"/>
        <v>0</v>
      </c>
      <c r="S224" s="9">
        <v>0</v>
      </c>
      <c r="T224" s="9">
        <f t="shared" si="82"/>
        <v>0</v>
      </c>
      <c r="U224" s="10">
        <v>0</v>
      </c>
      <c r="V224" s="12">
        <f t="shared" si="83"/>
        <v>0</v>
      </c>
      <c r="W224" s="40"/>
      <c r="Y224" s="22"/>
      <c r="Z224" s="22"/>
      <c r="AA224" s="23"/>
      <c r="AB224" s="23"/>
    </row>
    <row r="225" spans="2:28" ht="15.75" customHeight="1">
      <c r="B225" s="82"/>
      <c r="C225" s="5" t="s">
        <v>51</v>
      </c>
      <c r="D225" s="30">
        <v>0.01</v>
      </c>
      <c r="E225" s="31">
        <f t="shared" si="74"/>
        <v>0</v>
      </c>
      <c r="F225" s="32">
        <f t="shared" si="75"/>
        <v>0</v>
      </c>
      <c r="G225" s="9">
        <v>0</v>
      </c>
      <c r="H225" s="9">
        <f t="shared" si="76"/>
        <v>0</v>
      </c>
      <c r="I225" s="10">
        <v>0</v>
      </c>
      <c r="J225" s="10">
        <f t="shared" si="77"/>
        <v>0</v>
      </c>
      <c r="K225" s="9">
        <v>0</v>
      </c>
      <c r="L225" s="9">
        <f t="shared" si="78"/>
        <v>0</v>
      </c>
      <c r="M225" s="10">
        <v>0</v>
      </c>
      <c r="N225" s="10">
        <f t="shared" si="79"/>
        <v>0</v>
      </c>
      <c r="O225" s="9">
        <v>0</v>
      </c>
      <c r="P225" s="9">
        <f t="shared" si="80"/>
        <v>0</v>
      </c>
      <c r="Q225" s="10">
        <v>0</v>
      </c>
      <c r="R225" s="11">
        <f t="shared" si="81"/>
        <v>0</v>
      </c>
      <c r="S225" s="9">
        <v>0</v>
      </c>
      <c r="T225" s="9">
        <f t="shared" si="82"/>
        <v>0</v>
      </c>
      <c r="U225" s="10">
        <v>0</v>
      </c>
      <c r="V225" s="12">
        <f t="shared" si="83"/>
        <v>0</v>
      </c>
      <c r="W225" s="40"/>
      <c r="Y225" s="22"/>
      <c r="Z225" s="22"/>
      <c r="AA225" s="22"/>
      <c r="AB225" s="22"/>
    </row>
    <row r="226" spans="2:28">
      <c r="B226" s="82"/>
      <c r="C226" s="5" t="s">
        <v>55</v>
      </c>
      <c r="D226" s="30">
        <v>0</v>
      </c>
      <c r="E226" s="31">
        <f t="shared" si="74"/>
        <v>0</v>
      </c>
      <c r="F226" s="32">
        <f t="shared" si="75"/>
        <v>0</v>
      </c>
      <c r="G226" s="9">
        <v>0</v>
      </c>
      <c r="H226" s="9">
        <f t="shared" si="76"/>
        <v>0</v>
      </c>
      <c r="I226" s="10">
        <v>0</v>
      </c>
      <c r="J226" s="10">
        <f t="shared" si="77"/>
        <v>0</v>
      </c>
      <c r="K226" s="9">
        <v>0</v>
      </c>
      <c r="L226" s="9">
        <f t="shared" si="78"/>
        <v>0</v>
      </c>
      <c r="M226" s="10">
        <v>0</v>
      </c>
      <c r="N226" s="10">
        <f t="shared" si="79"/>
        <v>0</v>
      </c>
      <c r="O226" s="9">
        <v>0</v>
      </c>
      <c r="P226" s="9">
        <f t="shared" si="80"/>
        <v>0</v>
      </c>
      <c r="Q226" s="10">
        <v>0</v>
      </c>
      <c r="R226" s="11">
        <f t="shared" si="81"/>
        <v>0</v>
      </c>
      <c r="S226" s="9">
        <v>0</v>
      </c>
      <c r="T226" s="9">
        <f t="shared" si="82"/>
        <v>0</v>
      </c>
      <c r="U226" s="10">
        <v>0</v>
      </c>
      <c r="V226" s="12">
        <f t="shared" si="83"/>
        <v>0</v>
      </c>
      <c r="W226" s="40"/>
      <c r="Y226" s="22"/>
      <c r="Z226" s="22"/>
      <c r="AA226" s="23"/>
      <c r="AB226" s="23"/>
    </row>
    <row r="227" spans="2:28">
      <c r="B227" s="82"/>
      <c r="C227" s="5" t="s">
        <v>55</v>
      </c>
      <c r="D227" s="30">
        <v>0</v>
      </c>
      <c r="E227" s="31">
        <f t="shared" si="74"/>
        <v>0</v>
      </c>
      <c r="F227" s="32">
        <f t="shared" si="75"/>
        <v>0</v>
      </c>
      <c r="G227" s="9">
        <v>0</v>
      </c>
      <c r="H227" s="9">
        <f t="shared" si="76"/>
        <v>0</v>
      </c>
      <c r="I227" s="10">
        <v>0</v>
      </c>
      <c r="J227" s="10">
        <f t="shared" si="77"/>
        <v>0</v>
      </c>
      <c r="K227" s="9">
        <v>0</v>
      </c>
      <c r="L227" s="9">
        <f t="shared" si="78"/>
        <v>0</v>
      </c>
      <c r="M227" s="10">
        <v>0</v>
      </c>
      <c r="N227" s="10">
        <f t="shared" si="79"/>
        <v>0</v>
      </c>
      <c r="O227" s="9">
        <v>0</v>
      </c>
      <c r="P227" s="9">
        <f t="shared" si="80"/>
        <v>0</v>
      </c>
      <c r="Q227" s="10">
        <v>0</v>
      </c>
      <c r="R227" s="11">
        <f t="shared" si="81"/>
        <v>0</v>
      </c>
      <c r="S227" s="9">
        <v>0</v>
      </c>
      <c r="T227" s="9">
        <f t="shared" si="82"/>
        <v>0</v>
      </c>
      <c r="U227" s="10">
        <v>0</v>
      </c>
      <c r="V227" s="12">
        <f t="shared" si="83"/>
        <v>0</v>
      </c>
      <c r="W227" s="40"/>
      <c r="Y227" s="22"/>
      <c r="Z227" s="22"/>
      <c r="AA227" s="22"/>
      <c r="AB227" s="22"/>
    </row>
    <row r="228" spans="2:28">
      <c r="B228" s="82"/>
      <c r="C228" s="5" t="s">
        <v>55</v>
      </c>
      <c r="D228" s="30">
        <v>0</v>
      </c>
      <c r="E228" s="31">
        <f t="shared" si="74"/>
        <v>0</v>
      </c>
      <c r="F228" s="32">
        <f t="shared" si="75"/>
        <v>0</v>
      </c>
      <c r="G228" s="9">
        <v>0</v>
      </c>
      <c r="H228" s="9">
        <f t="shared" si="76"/>
        <v>0</v>
      </c>
      <c r="I228" s="10">
        <v>0</v>
      </c>
      <c r="J228" s="10">
        <f t="shared" si="77"/>
        <v>0</v>
      </c>
      <c r="K228" s="9">
        <v>0</v>
      </c>
      <c r="L228" s="9">
        <f t="shared" si="78"/>
        <v>0</v>
      </c>
      <c r="M228" s="10">
        <v>0</v>
      </c>
      <c r="N228" s="10">
        <f t="shared" si="79"/>
        <v>0</v>
      </c>
      <c r="O228" s="9">
        <v>0</v>
      </c>
      <c r="P228" s="9">
        <f t="shared" si="80"/>
        <v>0</v>
      </c>
      <c r="Q228" s="10">
        <v>0</v>
      </c>
      <c r="R228" s="11">
        <f t="shared" si="81"/>
        <v>0</v>
      </c>
      <c r="S228" s="9">
        <v>0</v>
      </c>
      <c r="T228" s="9">
        <f t="shared" si="82"/>
        <v>0</v>
      </c>
      <c r="U228" s="10">
        <v>0</v>
      </c>
      <c r="V228" s="12">
        <f t="shared" si="83"/>
        <v>0</v>
      </c>
      <c r="W228" s="40"/>
      <c r="Y228" s="23"/>
      <c r="Z228" s="23"/>
      <c r="AA228" s="23"/>
      <c r="AB228" s="23"/>
    </row>
    <row r="229" spans="2:28">
      <c r="B229" s="82"/>
      <c r="C229" s="5" t="s">
        <v>55</v>
      </c>
      <c r="D229" s="30">
        <v>0</v>
      </c>
      <c r="E229" s="31">
        <f t="shared" si="74"/>
        <v>0</v>
      </c>
      <c r="F229" s="32">
        <f t="shared" si="75"/>
        <v>0</v>
      </c>
      <c r="G229" s="9">
        <v>0</v>
      </c>
      <c r="H229" s="9">
        <f t="shared" si="76"/>
        <v>0</v>
      </c>
      <c r="I229" s="10">
        <v>0</v>
      </c>
      <c r="J229" s="10">
        <f t="shared" si="77"/>
        <v>0</v>
      </c>
      <c r="K229" s="9">
        <v>0</v>
      </c>
      <c r="L229" s="9">
        <f t="shared" si="78"/>
        <v>0</v>
      </c>
      <c r="M229" s="10">
        <v>0</v>
      </c>
      <c r="N229" s="10">
        <f t="shared" si="79"/>
        <v>0</v>
      </c>
      <c r="O229" s="9">
        <v>0</v>
      </c>
      <c r="P229" s="9">
        <f t="shared" si="80"/>
        <v>0</v>
      </c>
      <c r="Q229" s="10">
        <v>0</v>
      </c>
      <c r="R229" s="11">
        <f t="shared" si="81"/>
        <v>0</v>
      </c>
      <c r="S229" s="9">
        <v>0</v>
      </c>
      <c r="T229" s="9">
        <f t="shared" si="82"/>
        <v>0</v>
      </c>
      <c r="U229" s="10">
        <v>0</v>
      </c>
      <c r="V229" s="12">
        <f t="shared" si="83"/>
        <v>0</v>
      </c>
      <c r="W229" s="40"/>
      <c r="Y229" s="23"/>
      <c r="Z229" s="23"/>
      <c r="AA229" s="23"/>
      <c r="AB229" s="23"/>
    </row>
    <row r="230" spans="2:28">
      <c r="B230" s="82"/>
      <c r="C230" s="5" t="s">
        <v>55</v>
      </c>
      <c r="D230" s="30">
        <v>0</v>
      </c>
      <c r="E230" s="31">
        <f t="shared" si="74"/>
        <v>0</v>
      </c>
      <c r="F230" s="32">
        <f t="shared" si="75"/>
        <v>0</v>
      </c>
      <c r="G230" s="9">
        <v>0</v>
      </c>
      <c r="H230" s="9">
        <f t="shared" si="76"/>
        <v>0</v>
      </c>
      <c r="I230" s="10">
        <v>0</v>
      </c>
      <c r="J230" s="10">
        <f t="shared" si="77"/>
        <v>0</v>
      </c>
      <c r="K230" s="9">
        <v>0</v>
      </c>
      <c r="L230" s="9">
        <f t="shared" si="78"/>
        <v>0</v>
      </c>
      <c r="M230" s="10">
        <v>0</v>
      </c>
      <c r="N230" s="10">
        <f t="shared" si="79"/>
        <v>0</v>
      </c>
      <c r="O230" s="9">
        <v>0</v>
      </c>
      <c r="P230" s="9">
        <f t="shared" si="80"/>
        <v>0</v>
      </c>
      <c r="Q230" s="10">
        <v>0</v>
      </c>
      <c r="R230" s="11">
        <f t="shared" si="81"/>
        <v>0</v>
      </c>
      <c r="S230" s="9">
        <v>0</v>
      </c>
      <c r="T230" s="9">
        <f t="shared" si="82"/>
        <v>0</v>
      </c>
      <c r="U230" s="10">
        <v>0</v>
      </c>
      <c r="V230" s="12">
        <f t="shared" si="83"/>
        <v>0</v>
      </c>
      <c r="W230" s="40"/>
      <c r="Y230" s="22"/>
      <c r="Z230" s="23"/>
      <c r="AA230" s="23"/>
      <c r="AB230" s="23"/>
    </row>
    <row r="231" spans="2:28">
      <c r="G231" s="14"/>
      <c r="H231" s="15">
        <f>SUM(H218:H230)</f>
        <v>0</v>
      </c>
      <c r="I231" s="15"/>
      <c r="J231" s="15">
        <f>SUM(J218:J230)</f>
        <v>0</v>
      </c>
      <c r="K231" s="15"/>
      <c r="L231" s="15">
        <f>SUM(L218:L230)</f>
        <v>0</v>
      </c>
      <c r="M231" s="15"/>
      <c r="N231" s="15">
        <f>SUM(N218:N230)</f>
        <v>0</v>
      </c>
      <c r="O231" s="15"/>
      <c r="P231" s="15">
        <f>SUM(P218:P230)</f>
        <v>0</v>
      </c>
      <c r="Q231" s="15"/>
      <c r="R231" s="15">
        <f>SUM(R218:R230)</f>
        <v>0</v>
      </c>
      <c r="S231" s="15"/>
      <c r="T231" s="15">
        <f>SUM(T218:T230)</f>
        <v>0</v>
      </c>
      <c r="U231" s="15"/>
      <c r="V231" s="15">
        <f>SUM(V218:V230)</f>
        <v>0</v>
      </c>
      <c r="W231" s="15"/>
      <c r="Y231" s="13"/>
    </row>
    <row r="232" spans="2:28">
      <c r="B232" s="78" t="s">
        <v>199</v>
      </c>
      <c r="C232" s="78"/>
      <c r="D232" s="78"/>
      <c r="E232" s="83"/>
      <c r="F232" s="83"/>
      <c r="G232" s="83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Y232" s="13"/>
    </row>
    <row r="233" spans="2:28">
      <c r="B233" s="16"/>
      <c r="C233" s="16"/>
      <c r="D233" s="16"/>
      <c r="G233" s="14"/>
      <c r="H233" s="14"/>
      <c r="I233" s="14"/>
      <c r="J233" s="14"/>
      <c r="K233" s="84" t="s">
        <v>57</v>
      </c>
      <c r="L233" s="84"/>
      <c r="M233" s="84"/>
      <c r="N233" s="17">
        <v>1360</v>
      </c>
      <c r="O233" s="85">
        <v>45838</v>
      </c>
      <c r="P233" s="85"/>
      <c r="Q233" s="14"/>
      <c r="R233" s="14"/>
      <c r="S233" s="14"/>
      <c r="T233" s="14"/>
      <c r="U233" s="14"/>
      <c r="V233" s="14"/>
      <c r="W233" s="14"/>
      <c r="Y233" s="18"/>
    </row>
    <row r="234" spans="2:28">
      <c r="B234" s="19" t="s">
        <v>58</v>
      </c>
      <c r="C234" s="19"/>
      <c r="F234" s="67">
        <f>SUM(E218:E230)/10</f>
        <v>0</v>
      </c>
      <c r="G234" s="67"/>
      <c r="H234" s="20"/>
      <c r="I234" s="20"/>
      <c r="Y234" s="21"/>
    </row>
    <row r="235" spans="2:28">
      <c r="B235" s="19" t="s">
        <v>59</v>
      </c>
      <c r="F235" s="67">
        <f>SUM(F218:F230)</f>
        <v>0</v>
      </c>
      <c r="G235" s="67"/>
      <c r="I235" s="68">
        <f>E232*F235</f>
        <v>0</v>
      </c>
      <c r="J235" s="68"/>
      <c r="K235" s="68"/>
      <c r="M235" s="69">
        <f>I235/N233</f>
        <v>0</v>
      </c>
      <c r="N235" s="69"/>
      <c r="O235" s="69"/>
    </row>
    <row r="236" spans="2:28" ht="14.45" customHeight="1"/>
    <row r="237" spans="2:28">
      <c r="B237" s="78" t="s">
        <v>60</v>
      </c>
      <c r="C237" s="78"/>
      <c r="D237" s="78"/>
      <c r="F237" s="79">
        <f>1-F234</f>
        <v>1</v>
      </c>
      <c r="G237" s="79"/>
    </row>
    <row r="238" spans="2:28">
      <c r="B238" s="78" t="s">
        <v>61</v>
      </c>
      <c r="C238" s="78"/>
      <c r="D238" s="78"/>
      <c r="F238" s="79">
        <f>1-F235</f>
        <v>1</v>
      </c>
      <c r="G238" s="79"/>
      <c r="I238" s="80">
        <f>E232*F238</f>
        <v>0</v>
      </c>
      <c r="J238" s="80"/>
      <c r="K238" s="80"/>
      <c r="M238" s="81">
        <f>I238/N233</f>
        <v>0</v>
      </c>
      <c r="N238" s="81"/>
      <c r="O238" s="81"/>
    </row>
    <row r="239" spans="2:28" ht="14.45" customHeight="1"/>
    <row r="240" spans="2:28" ht="15" customHeight="1">
      <c r="B240" s="16" t="s">
        <v>62</v>
      </c>
      <c r="C240" s="16"/>
      <c r="D240" s="16"/>
      <c r="F240" s="62">
        <f>1-(F221+F223+F224+F225+F226+F227+F228+F229)</f>
        <v>1</v>
      </c>
      <c r="G240" s="62"/>
      <c r="I240" s="63">
        <f>I238*F240</f>
        <v>0</v>
      </c>
      <c r="J240" s="63"/>
      <c r="K240" s="63"/>
      <c r="M240" s="64">
        <f>M238*F240</f>
        <v>0</v>
      </c>
      <c r="N240" s="64"/>
      <c r="O240" s="64"/>
      <c r="P240" s="65" t="s">
        <v>63</v>
      </c>
      <c r="Q240" s="65"/>
      <c r="R240" s="65"/>
      <c r="S240" s="65"/>
      <c r="T240" s="65"/>
    </row>
    <row r="241" spans="2:28">
      <c r="B241" s="16" t="s">
        <v>64</v>
      </c>
      <c r="F241" s="66"/>
      <c r="G241" s="66"/>
      <c r="I241" s="63">
        <f>I238-I240</f>
        <v>0</v>
      </c>
      <c r="J241" s="63"/>
      <c r="K241" s="63"/>
      <c r="M241" s="64">
        <f>M238-M240</f>
        <v>0</v>
      </c>
      <c r="N241" s="64"/>
      <c r="O241" s="64"/>
      <c r="P241" s="65"/>
      <c r="Q241" s="65"/>
      <c r="R241" s="65"/>
      <c r="S241" s="65"/>
      <c r="T241" s="65"/>
    </row>
    <row r="243" spans="2:28">
      <c r="G243" s="72">
        <f>$E$261*H260</f>
        <v>0</v>
      </c>
      <c r="H243" s="73"/>
      <c r="I243" s="72">
        <f t="shared" ref="I243" si="84">$E$261*J260</f>
        <v>0</v>
      </c>
      <c r="J243" s="73"/>
      <c r="K243" s="72">
        <f t="shared" ref="K243" si="85">$E$261*L260</f>
        <v>0</v>
      </c>
      <c r="L243" s="73"/>
      <c r="M243" s="72">
        <f t="shared" ref="M243" si="86">$E$261*N260</f>
        <v>0</v>
      </c>
      <c r="N243" s="73"/>
      <c r="O243" s="72">
        <f t="shared" ref="O243" si="87">$E$261*P260</f>
        <v>0</v>
      </c>
      <c r="P243" s="73"/>
      <c r="Q243" s="72">
        <f t="shared" ref="Q243" si="88">$E$261*R260</f>
        <v>0</v>
      </c>
      <c r="R243" s="73"/>
      <c r="S243" s="72">
        <f t="shared" ref="S243" si="89">$E$261*T260</f>
        <v>0</v>
      </c>
      <c r="T243" s="73"/>
      <c r="U243" s="72">
        <f t="shared" ref="U243" si="90">$E$261*V260</f>
        <v>0</v>
      </c>
      <c r="V243" s="73"/>
      <c r="W243" s="2"/>
    </row>
    <row r="244" spans="2:28" ht="15" customHeight="1">
      <c r="D244" s="86" t="s">
        <v>2</v>
      </c>
      <c r="E244" s="86" t="s">
        <v>3</v>
      </c>
      <c r="F244" s="87" t="s">
        <v>4</v>
      </c>
      <c r="G244" s="88" t="s">
        <v>5</v>
      </c>
      <c r="H244" s="88"/>
      <c r="I244" s="74" t="s">
        <v>6</v>
      </c>
      <c r="J244" s="74"/>
      <c r="K244" s="74" t="s">
        <v>7</v>
      </c>
      <c r="L244" s="74"/>
      <c r="M244" s="74" t="s">
        <v>8</v>
      </c>
      <c r="N244" s="74"/>
      <c r="O244" s="74" t="s">
        <v>9</v>
      </c>
      <c r="P244" s="74"/>
      <c r="Q244" s="74" t="s">
        <v>10</v>
      </c>
      <c r="R244" s="74"/>
      <c r="S244" s="75" t="s">
        <v>11</v>
      </c>
      <c r="T244" s="75"/>
      <c r="U244" s="75" t="s">
        <v>12</v>
      </c>
      <c r="V244" s="75"/>
      <c r="W244" s="55"/>
    </row>
    <row r="245" spans="2:28" ht="15" customHeight="1">
      <c r="D245" s="86"/>
      <c r="E245" s="86"/>
      <c r="F245" s="87"/>
      <c r="G245" s="76" t="s">
        <v>13</v>
      </c>
      <c r="H245" s="76" t="s">
        <v>14</v>
      </c>
      <c r="I245" s="70" t="s">
        <v>13</v>
      </c>
      <c r="J245" s="70" t="s">
        <v>14</v>
      </c>
      <c r="K245" s="76" t="s">
        <v>13</v>
      </c>
      <c r="L245" s="76" t="s">
        <v>14</v>
      </c>
      <c r="M245" s="70" t="s">
        <v>13</v>
      </c>
      <c r="N245" s="70" t="s">
        <v>14</v>
      </c>
      <c r="O245" s="76" t="s">
        <v>13</v>
      </c>
      <c r="P245" s="76" t="s">
        <v>14</v>
      </c>
      <c r="Q245" s="70" t="s">
        <v>13</v>
      </c>
      <c r="R245" s="70" t="s">
        <v>14</v>
      </c>
      <c r="S245" s="76" t="s">
        <v>13</v>
      </c>
      <c r="T245" s="76" t="s">
        <v>14</v>
      </c>
      <c r="U245" s="70" t="s">
        <v>13</v>
      </c>
      <c r="V245" s="70" t="s">
        <v>14</v>
      </c>
      <c r="W245" s="56"/>
    </row>
    <row r="246" spans="2:28" ht="54" customHeight="1">
      <c r="D246" s="86"/>
      <c r="E246" s="86"/>
      <c r="F246" s="87"/>
      <c r="G246" s="77"/>
      <c r="H246" s="77"/>
      <c r="I246" s="71"/>
      <c r="J246" s="71"/>
      <c r="K246" s="77"/>
      <c r="L246" s="77"/>
      <c r="M246" s="71"/>
      <c r="N246" s="71"/>
      <c r="O246" s="77"/>
      <c r="P246" s="77"/>
      <c r="Q246" s="71"/>
      <c r="R246" s="71"/>
      <c r="S246" s="77"/>
      <c r="T246" s="77"/>
      <c r="U246" s="71"/>
      <c r="V246" s="71"/>
      <c r="W246" s="56"/>
      <c r="Y246" s="3" t="s">
        <v>200</v>
      </c>
      <c r="Z246" s="3" t="s">
        <v>201</v>
      </c>
      <c r="AA246" s="3" t="s">
        <v>202</v>
      </c>
      <c r="AB246" s="3" t="s">
        <v>203</v>
      </c>
    </row>
    <row r="247" spans="2:28" ht="15" customHeight="1">
      <c r="B247" s="82" t="s">
        <v>204</v>
      </c>
      <c r="C247" s="5" t="s">
        <v>20</v>
      </c>
      <c r="D247" s="30">
        <v>0.01</v>
      </c>
      <c r="E247" s="7">
        <f>SUM(G247,I247,K247,M247,O247,Q247,S247,U247)</f>
        <v>0</v>
      </c>
      <c r="F247" s="8">
        <f>D247*E247</f>
        <v>0</v>
      </c>
      <c r="G247" s="9">
        <v>0</v>
      </c>
      <c r="H247" s="9">
        <f>G247*D247</f>
        <v>0</v>
      </c>
      <c r="I247" s="10">
        <v>0</v>
      </c>
      <c r="J247" s="10">
        <f>I247*D247</f>
        <v>0</v>
      </c>
      <c r="K247" s="9">
        <v>0</v>
      </c>
      <c r="L247" s="9">
        <f>K247*D247</f>
        <v>0</v>
      </c>
      <c r="M247" s="10">
        <v>0</v>
      </c>
      <c r="N247" s="10">
        <f>M247*D247</f>
        <v>0</v>
      </c>
      <c r="O247" s="9">
        <v>0</v>
      </c>
      <c r="P247" s="9">
        <f>O247*D247</f>
        <v>0</v>
      </c>
      <c r="Q247" s="10">
        <v>0</v>
      </c>
      <c r="R247" s="11">
        <f>Q247*D247</f>
        <v>0</v>
      </c>
      <c r="S247" s="9">
        <v>0</v>
      </c>
      <c r="T247" s="9">
        <f>S247*D247</f>
        <v>0</v>
      </c>
      <c r="U247" s="10">
        <v>0</v>
      </c>
      <c r="V247" s="12">
        <f>U247*D247</f>
        <v>0</v>
      </c>
      <c r="W247" s="40"/>
      <c r="Y247" s="22"/>
      <c r="Z247" s="22"/>
      <c r="AA247" s="23"/>
      <c r="AB247" s="23"/>
    </row>
    <row r="248" spans="2:28">
      <c r="B248" s="82"/>
      <c r="C248" s="5" t="s">
        <v>25</v>
      </c>
      <c r="D248" s="30">
        <v>0.01</v>
      </c>
      <c r="E248" s="7">
        <f>SUM(G248,I248,K248,M248,O248,Q248,S248,U248)</f>
        <v>0</v>
      </c>
      <c r="F248" s="8">
        <f t="shared" ref="F248:F259" si="91">D248*E248</f>
        <v>0</v>
      </c>
      <c r="G248" s="9">
        <v>0</v>
      </c>
      <c r="H248" s="9">
        <f t="shared" ref="H248:H259" si="92">G248*D248</f>
        <v>0</v>
      </c>
      <c r="I248" s="10">
        <v>0</v>
      </c>
      <c r="J248" s="10">
        <f t="shared" ref="J248:J259" si="93">I248*D248</f>
        <v>0</v>
      </c>
      <c r="K248" s="9">
        <v>0</v>
      </c>
      <c r="L248" s="9">
        <f t="shared" ref="L248:L259" si="94">K248*D248</f>
        <v>0</v>
      </c>
      <c r="M248" s="10">
        <v>0</v>
      </c>
      <c r="N248" s="10">
        <f t="shared" ref="N248:N259" si="95">M248*D248</f>
        <v>0</v>
      </c>
      <c r="O248" s="9">
        <v>0</v>
      </c>
      <c r="P248" s="9">
        <f t="shared" ref="P248:P259" si="96">O248*D248</f>
        <v>0</v>
      </c>
      <c r="Q248" s="10">
        <v>0</v>
      </c>
      <c r="R248" s="11">
        <f t="shared" ref="R248:R259" si="97">Q248*D248</f>
        <v>0</v>
      </c>
      <c r="S248" s="9">
        <v>0</v>
      </c>
      <c r="T248" s="9">
        <f t="shared" ref="T248:T259" si="98">S248*D248</f>
        <v>0</v>
      </c>
      <c r="U248" s="10">
        <v>0</v>
      </c>
      <c r="V248" s="12">
        <f t="shared" ref="V248:V259" si="99">U248*D248</f>
        <v>0</v>
      </c>
      <c r="W248" s="40"/>
      <c r="Y248" s="22"/>
      <c r="Z248" s="22"/>
      <c r="AA248" s="22"/>
      <c r="AB248" s="22"/>
    </row>
    <row r="249" spans="2:28">
      <c r="B249" s="82"/>
      <c r="C249" s="5" t="s">
        <v>30</v>
      </c>
      <c r="D249" s="30">
        <v>0.01</v>
      </c>
      <c r="E249" s="7">
        <f t="shared" ref="E249:E259" si="100">SUM(G249,I249,K249,M249,O249,Q249,S249,U249)</f>
        <v>0</v>
      </c>
      <c r="F249" s="8">
        <f t="shared" si="91"/>
        <v>0</v>
      </c>
      <c r="G249" s="9">
        <v>0</v>
      </c>
      <c r="H249" s="9">
        <f t="shared" si="92"/>
        <v>0</v>
      </c>
      <c r="I249" s="10">
        <v>0</v>
      </c>
      <c r="J249" s="10">
        <f t="shared" si="93"/>
        <v>0</v>
      </c>
      <c r="K249" s="9">
        <v>0</v>
      </c>
      <c r="L249" s="9">
        <f t="shared" si="94"/>
        <v>0</v>
      </c>
      <c r="M249" s="10">
        <v>0</v>
      </c>
      <c r="N249" s="10">
        <f t="shared" si="95"/>
        <v>0</v>
      </c>
      <c r="O249" s="9">
        <v>0</v>
      </c>
      <c r="P249" s="9">
        <f t="shared" si="96"/>
        <v>0</v>
      </c>
      <c r="Q249" s="10">
        <v>0</v>
      </c>
      <c r="R249" s="11">
        <f t="shared" si="97"/>
        <v>0</v>
      </c>
      <c r="S249" s="9">
        <v>0</v>
      </c>
      <c r="T249" s="9">
        <f t="shared" si="98"/>
        <v>0</v>
      </c>
      <c r="U249" s="10">
        <v>0</v>
      </c>
      <c r="V249" s="12">
        <f t="shared" si="99"/>
        <v>0</v>
      </c>
      <c r="W249" s="40"/>
      <c r="Y249" s="22"/>
      <c r="Z249" s="22"/>
      <c r="AA249" s="22"/>
      <c r="AB249" s="22"/>
    </row>
    <row r="250" spans="2:28">
      <c r="B250" s="82"/>
      <c r="C250" s="5" t="s">
        <v>32</v>
      </c>
      <c r="D250" s="30">
        <v>0.01</v>
      </c>
      <c r="E250" s="7">
        <f t="shared" si="100"/>
        <v>0</v>
      </c>
      <c r="F250" s="8">
        <f t="shared" si="91"/>
        <v>0</v>
      </c>
      <c r="G250" s="9">
        <v>0</v>
      </c>
      <c r="H250" s="9">
        <f t="shared" si="92"/>
        <v>0</v>
      </c>
      <c r="I250" s="10">
        <v>0</v>
      </c>
      <c r="J250" s="10">
        <f>I250*D250</f>
        <v>0</v>
      </c>
      <c r="K250" s="9">
        <v>0</v>
      </c>
      <c r="L250" s="9">
        <f t="shared" si="94"/>
        <v>0</v>
      </c>
      <c r="M250" s="10">
        <v>0</v>
      </c>
      <c r="N250" s="10">
        <f t="shared" si="95"/>
        <v>0</v>
      </c>
      <c r="O250" s="9">
        <v>0</v>
      </c>
      <c r="P250" s="9">
        <f t="shared" si="96"/>
        <v>0</v>
      </c>
      <c r="Q250" s="10">
        <v>0</v>
      </c>
      <c r="R250" s="11">
        <f t="shared" si="97"/>
        <v>0</v>
      </c>
      <c r="S250" s="9">
        <v>0</v>
      </c>
      <c r="T250" s="9">
        <f t="shared" si="98"/>
        <v>0</v>
      </c>
      <c r="U250" s="10">
        <v>0</v>
      </c>
      <c r="V250" s="12">
        <f t="shared" si="99"/>
        <v>0</v>
      </c>
      <c r="W250" s="40"/>
      <c r="Y250" s="22"/>
      <c r="Z250" s="23"/>
      <c r="AA250" s="23"/>
      <c r="AB250" s="23"/>
    </row>
    <row r="251" spans="2:28">
      <c r="B251" s="82"/>
      <c r="C251" s="29" t="s">
        <v>37</v>
      </c>
      <c r="D251" s="30">
        <v>0.01</v>
      </c>
      <c r="E251" s="7">
        <f t="shared" si="100"/>
        <v>0</v>
      </c>
      <c r="F251" s="8">
        <f t="shared" si="91"/>
        <v>0</v>
      </c>
      <c r="G251" s="9">
        <v>0</v>
      </c>
      <c r="H251" s="9">
        <f t="shared" si="92"/>
        <v>0</v>
      </c>
      <c r="I251" s="10">
        <v>0</v>
      </c>
      <c r="J251" s="10">
        <f t="shared" si="93"/>
        <v>0</v>
      </c>
      <c r="K251" s="9">
        <v>0</v>
      </c>
      <c r="L251" s="9">
        <f t="shared" si="94"/>
        <v>0</v>
      </c>
      <c r="M251" s="10">
        <v>0</v>
      </c>
      <c r="N251" s="10">
        <f t="shared" si="95"/>
        <v>0</v>
      </c>
      <c r="O251" s="9">
        <v>0</v>
      </c>
      <c r="P251" s="9">
        <f t="shared" si="96"/>
        <v>0</v>
      </c>
      <c r="Q251" s="10">
        <v>0</v>
      </c>
      <c r="R251" s="11">
        <f t="shared" si="97"/>
        <v>0</v>
      </c>
      <c r="S251" s="9">
        <v>0</v>
      </c>
      <c r="T251" s="9">
        <f t="shared" si="98"/>
        <v>0</v>
      </c>
      <c r="U251" s="10">
        <v>0</v>
      </c>
      <c r="V251" s="12">
        <f t="shared" si="99"/>
        <v>0</v>
      </c>
      <c r="W251" s="40"/>
      <c r="Y251" s="22"/>
      <c r="Z251" s="22"/>
      <c r="AA251" s="22"/>
      <c r="AB251" s="22"/>
    </row>
    <row r="252" spans="2:28">
      <c r="B252" s="82"/>
      <c r="C252" s="5" t="s">
        <v>41</v>
      </c>
      <c r="D252" s="30">
        <v>0.01</v>
      </c>
      <c r="E252" s="7">
        <f t="shared" si="100"/>
        <v>0</v>
      </c>
      <c r="F252" s="8">
        <f t="shared" si="91"/>
        <v>0</v>
      </c>
      <c r="G252" s="9">
        <v>0</v>
      </c>
      <c r="H252" s="9">
        <f t="shared" si="92"/>
        <v>0</v>
      </c>
      <c r="I252" s="10">
        <v>0</v>
      </c>
      <c r="J252" s="10">
        <f t="shared" si="93"/>
        <v>0</v>
      </c>
      <c r="K252" s="9">
        <v>0</v>
      </c>
      <c r="L252" s="9">
        <v>0</v>
      </c>
      <c r="M252" s="10">
        <v>0</v>
      </c>
      <c r="N252" s="10">
        <f t="shared" si="95"/>
        <v>0</v>
      </c>
      <c r="O252" s="9">
        <v>0</v>
      </c>
      <c r="P252" s="9">
        <f t="shared" si="96"/>
        <v>0</v>
      </c>
      <c r="Q252" s="10">
        <v>0</v>
      </c>
      <c r="R252" s="11">
        <f t="shared" si="97"/>
        <v>0</v>
      </c>
      <c r="S252" s="9">
        <v>0</v>
      </c>
      <c r="T252" s="9">
        <f t="shared" si="98"/>
        <v>0</v>
      </c>
      <c r="U252" s="10">
        <v>0</v>
      </c>
      <c r="V252" s="12">
        <f t="shared" si="99"/>
        <v>0</v>
      </c>
      <c r="W252" s="40"/>
      <c r="Y252" s="22"/>
      <c r="Z252" s="22"/>
      <c r="AA252" s="22"/>
      <c r="AB252" s="22"/>
    </row>
    <row r="253" spans="2:28">
      <c r="B253" s="82"/>
      <c r="C253" s="5" t="s">
        <v>46</v>
      </c>
      <c r="D253" s="30">
        <v>0.01</v>
      </c>
      <c r="E253" s="7">
        <f t="shared" si="100"/>
        <v>0</v>
      </c>
      <c r="F253" s="8">
        <f t="shared" si="91"/>
        <v>0</v>
      </c>
      <c r="G253" s="9">
        <v>0</v>
      </c>
      <c r="H253" s="9">
        <f t="shared" si="92"/>
        <v>0</v>
      </c>
      <c r="I253" s="10">
        <v>0</v>
      </c>
      <c r="J253" s="10">
        <f t="shared" si="93"/>
        <v>0</v>
      </c>
      <c r="K253" s="9">
        <v>0</v>
      </c>
      <c r="L253" s="9">
        <f t="shared" si="94"/>
        <v>0</v>
      </c>
      <c r="M253" s="10">
        <v>0</v>
      </c>
      <c r="N253" s="10">
        <f t="shared" si="95"/>
        <v>0</v>
      </c>
      <c r="O253" s="9">
        <v>0</v>
      </c>
      <c r="P253" s="9">
        <f t="shared" si="96"/>
        <v>0</v>
      </c>
      <c r="Q253" s="10">
        <v>0</v>
      </c>
      <c r="R253" s="11">
        <f t="shared" si="97"/>
        <v>0</v>
      </c>
      <c r="S253" s="9">
        <v>0</v>
      </c>
      <c r="T253" s="9">
        <f t="shared" si="98"/>
        <v>0</v>
      </c>
      <c r="U253" s="10">
        <v>0</v>
      </c>
      <c r="V253" s="12">
        <f t="shared" si="99"/>
        <v>0</v>
      </c>
      <c r="W253" s="40"/>
      <c r="Y253" s="22"/>
      <c r="Z253" s="22"/>
      <c r="AA253" s="28"/>
      <c r="AB253" s="23"/>
    </row>
    <row r="254" spans="2:28">
      <c r="B254" s="82"/>
      <c r="C254" s="5" t="s">
        <v>51</v>
      </c>
      <c r="D254" s="30">
        <v>0.01</v>
      </c>
      <c r="E254" s="7">
        <f t="shared" si="100"/>
        <v>0</v>
      </c>
      <c r="F254" s="8">
        <f t="shared" si="91"/>
        <v>0</v>
      </c>
      <c r="G254" s="9">
        <v>0</v>
      </c>
      <c r="H254" s="9">
        <f t="shared" si="92"/>
        <v>0</v>
      </c>
      <c r="I254" s="10">
        <v>0</v>
      </c>
      <c r="J254" s="10">
        <f t="shared" si="93"/>
        <v>0</v>
      </c>
      <c r="K254" s="9">
        <v>0</v>
      </c>
      <c r="L254" s="9">
        <f t="shared" si="94"/>
        <v>0</v>
      </c>
      <c r="M254" s="10">
        <v>0</v>
      </c>
      <c r="N254" s="10">
        <f t="shared" si="95"/>
        <v>0</v>
      </c>
      <c r="O254" s="9">
        <v>0</v>
      </c>
      <c r="P254" s="9">
        <f t="shared" si="96"/>
        <v>0</v>
      </c>
      <c r="Q254" s="10">
        <v>0</v>
      </c>
      <c r="R254" s="11">
        <f t="shared" si="97"/>
        <v>0</v>
      </c>
      <c r="S254" s="9">
        <v>0</v>
      </c>
      <c r="T254" s="9">
        <f t="shared" si="98"/>
        <v>0</v>
      </c>
      <c r="U254" s="10">
        <v>0</v>
      </c>
      <c r="V254" s="12">
        <f t="shared" si="99"/>
        <v>0</v>
      </c>
      <c r="W254" s="40"/>
      <c r="Y254" s="22"/>
      <c r="Z254" s="22"/>
      <c r="AA254" s="22"/>
      <c r="AB254" s="22"/>
    </row>
    <row r="255" spans="2:28">
      <c r="B255" s="82"/>
      <c r="C255" s="5" t="s">
        <v>55</v>
      </c>
      <c r="D255" s="30">
        <v>0</v>
      </c>
      <c r="E255" s="7">
        <f t="shared" si="100"/>
        <v>0</v>
      </c>
      <c r="F255" s="8">
        <f t="shared" si="91"/>
        <v>0</v>
      </c>
      <c r="G255" s="9">
        <v>0</v>
      </c>
      <c r="H255" s="9">
        <f t="shared" si="92"/>
        <v>0</v>
      </c>
      <c r="I255" s="10">
        <v>0</v>
      </c>
      <c r="J255" s="10">
        <f t="shared" si="93"/>
        <v>0</v>
      </c>
      <c r="K255" s="9">
        <v>0</v>
      </c>
      <c r="L255" s="9">
        <f t="shared" si="94"/>
        <v>0</v>
      </c>
      <c r="M255" s="10">
        <v>0</v>
      </c>
      <c r="N255" s="10">
        <f t="shared" si="95"/>
        <v>0</v>
      </c>
      <c r="O255" s="9">
        <v>0</v>
      </c>
      <c r="P255" s="9">
        <f t="shared" si="96"/>
        <v>0</v>
      </c>
      <c r="Q255" s="10">
        <v>0</v>
      </c>
      <c r="R255" s="11">
        <f t="shared" si="97"/>
        <v>0</v>
      </c>
      <c r="S255" s="9">
        <v>0</v>
      </c>
      <c r="T255" s="9">
        <f t="shared" si="98"/>
        <v>0</v>
      </c>
      <c r="U255" s="10">
        <v>0</v>
      </c>
      <c r="V255" s="12">
        <f t="shared" si="99"/>
        <v>0</v>
      </c>
      <c r="W255" s="40"/>
      <c r="Y255" s="22"/>
      <c r="Z255" s="22"/>
      <c r="AA255" s="23"/>
      <c r="AB255" s="23"/>
    </row>
    <row r="256" spans="2:28">
      <c r="B256" s="82"/>
      <c r="C256" s="5" t="s">
        <v>55</v>
      </c>
      <c r="D256" s="30">
        <v>0</v>
      </c>
      <c r="E256" s="7">
        <f t="shared" si="100"/>
        <v>0</v>
      </c>
      <c r="F256" s="8">
        <f t="shared" si="91"/>
        <v>0</v>
      </c>
      <c r="G256" s="9">
        <v>0</v>
      </c>
      <c r="H256" s="9">
        <f t="shared" si="92"/>
        <v>0</v>
      </c>
      <c r="I256" s="10">
        <v>0</v>
      </c>
      <c r="J256" s="10">
        <f t="shared" si="93"/>
        <v>0</v>
      </c>
      <c r="K256" s="9">
        <v>0</v>
      </c>
      <c r="L256" s="9">
        <f t="shared" si="94"/>
        <v>0</v>
      </c>
      <c r="M256" s="10">
        <v>0</v>
      </c>
      <c r="N256" s="10">
        <f t="shared" si="95"/>
        <v>0</v>
      </c>
      <c r="O256" s="9">
        <v>0</v>
      </c>
      <c r="P256" s="9">
        <f t="shared" si="96"/>
        <v>0</v>
      </c>
      <c r="Q256" s="10">
        <v>0</v>
      </c>
      <c r="R256" s="11">
        <f t="shared" si="97"/>
        <v>0</v>
      </c>
      <c r="S256" s="9">
        <v>0</v>
      </c>
      <c r="T256" s="9">
        <f t="shared" si="98"/>
        <v>0</v>
      </c>
      <c r="U256" s="10">
        <v>0</v>
      </c>
      <c r="V256" s="12">
        <f t="shared" si="99"/>
        <v>0</v>
      </c>
      <c r="W256" s="40"/>
      <c r="Y256" s="22"/>
      <c r="Z256" s="22"/>
      <c r="AA256" s="22"/>
      <c r="AB256" s="22"/>
    </row>
    <row r="257" spans="2:28">
      <c r="B257" s="82"/>
      <c r="C257" s="5" t="s">
        <v>55</v>
      </c>
      <c r="D257" s="30">
        <v>0</v>
      </c>
      <c r="E257" s="7">
        <f t="shared" si="100"/>
        <v>0</v>
      </c>
      <c r="F257" s="8">
        <f t="shared" si="91"/>
        <v>0</v>
      </c>
      <c r="G257" s="9">
        <v>0</v>
      </c>
      <c r="H257" s="9">
        <f t="shared" si="92"/>
        <v>0</v>
      </c>
      <c r="I257" s="10">
        <v>0</v>
      </c>
      <c r="J257" s="10">
        <f t="shared" si="93"/>
        <v>0</v>
      </c>
      <c r="K257" s="9">
        <v>0</v>
      </c>
      <c r="L257" s="9">
        <f t="shared" si="94"/>
        <v>0</v>
      </c>
      <c r="M257" s="10">
        <v>0</v>
      </c>
      <c r="N257" s="10">
        <f t="shared" si="95"/>
        <v>0</v>
      </c>
      <c r="O257" s="9">
        <v>0</v>
      </c>
      <c r="P257" s="9">
        <f t="shared" si="96"/>
        <v>0</v>
      </c>
      <c r="Q257" s="10">
        <v>0</v>
      </c>
      <c r="R257" s="11">
        <f t="shared" si="97"/>
        <v>0</v>
      </c>
      <c r="S257" s="9">
        <v>0</v>
      </c>
      <c r="T257" s="9">
        <f t="shared" si="98"/>
        <v>0</v>
      </c>
      <c r="U257" s="10">
        <v>0</v>
      </c>
      <c r="V257" s="12">
        <f t="shared" si="99"/>
        <v>0</v>
      </c>
      <c r="W257" s="40"/>
      <c r="Y257" s="22"/>
      <c r="Z257" s="22"/>
      <c r="AA257" s="22"/>
      <c r="AB257" s="22"/>
    </row>
    <row r="258" spans="2:28">
      <c r="B258" s="82"/>
      <c r="C258" s="5" t="s">
        <v>55</v>
      </c>
      <c r="D258" s="30">
        <v>0</v>
      </c>
      <c r="E258" s="7">
        <f t="shared" si="100"/>
        <v>0</v>
      </c>
      <c r="F258" s="8">
        <f t="shared" si="91"/>
        <v>0</v>
      </c>
      <c r="G258" s="9">
        <v>0</v>
      </c>
      <c r="H258" s="9">
        <f t="shared" si="92"/>
        <v>0</v>
      </c>
      <c r="I258" s="10">
        <v>0</v>
      </c>
      <c r="J258" s="10">
        <f t="shared" si="93"/>
        <v>0</v>
      </c>
      <c r="K258" s="9">
        <v>0</v>
      </c>
      <c r="L258" s="9">
        <f t="shared" si="94"/>
        <v>0</v>
      </c>
      <c r="M258" s="10">
        <v>0</v>
      </c>
      <c r="N258" s="10">
        <f t="shared" si="95"/>
        <v>0</v>
      </c>
      <c r="O258" s="9">
        <v>0</v>
      </c>
      <c r="P258" s="9">
        <f t="shared" si="96"/>
        <v>0</v>
      </c>
      <c r="Q258" s="10">
        <v>0</v>
      </c>
      <c r="R258" s="11">
        <f t="shared" si="97"/>
        <v>0</v>
      </c>
      <c r="S258" s="9">
        <v>0</v>
      </c>
      <c r="T258" s="9">
        <f t="shared" si="98"/>
        <v>0</v>
      </c>
      <c r="U258" s="10">
        <v>0</v>
      </c>
      <c r="V258" s="12">
        <f t="shared" si="99"/>
        <v>0</v>
      </c>
      <c r="W258" s="40"/>
      <c r="Y258" s="22"/>
      <c r="Z258" s="22"/>
      <c r="AA258" s="22"/>
      <c r="AB258" s="23"/>
    </row>
    <row r="259" spans="2:28">
      <c r="B259" s="82"/>
      <c r="C259" s="5" t="s">
        <v>55</v>
      </c>
      <c r="D259" s="30">
        <v>0</v>
      </c>
      <c r="E259" s="7">
        <f t="shared" si="100"/>
        <v>0</v>
      </c>
      <c r="F259" s="8">
        <f t="shared" si="91"/>
        <v>0</v>
      </c>
      <c r="G259" s="9">
        <v>0</v>
      </c>
      <c r="H259" s="9">
        <f t="shared" si="92"/>
        <v>0</v>
      </c>
      <c r="I259" s="10">
        <v>0</v>
      </c>
      <c r="J259" s="10">
        <f t="shared" si="93"/>
        <v>0</v>
      </c>
      <c r="K259" s="9">
        <v>0</v>
      </c>
      <c r="L259" s="9">
        <f t="shared" si="94"/>
        <v>0</v>
      </c>
      <c r="M259" s="10">
        <v>0</v>
      </c>
      <c r="N259" s="10">
        <f t="shared" si="95"/>
        <v>0</v>
      </c>
      <c r="O259" s="9">
        <v>0</v>
      </c>
      <c r="P259" s="9">
        <f t="shared" si="96"/>
        <v>0</v>
      </c>
      <c r="Q259" s="10">
        <v>0</v>
      </c>
      <c r="R259" s="11">
        <f t="shared" si="97"/>
        <v>0</v>
      </c>
      <c r="S259" s="9">
        <v>0</v>
      </c>
      <c r="T259" s="9">
        <f t="shared" si="98"/>
        <v>0</v>
      </c>
      <c r="U259" s="10">
        <v>0</v>
      </c>
      <c r="V259" s="12">
        <f t="shared" si="99"/>
        <v>0</v>
      </c>
      <c r="W259" s="40"/>
      <c r="Y259" s="22"/>
      <c r="Z259" s="23"/>
      <c r="AA259" s="23"/>
      <c r="AB259" s="23"/>
    </row>
    <row r="260" spans="2:28">
      <c r="G260" s="14"/>
      <c r="H260" s="15">
        <f>SUM(H247:H259)</f>
        <v>0</v>
      </c>
      <c r="I260" s="15"/>
      <c r="J260" s="15">
        <f>SUM(J247:J259)</f>
        <v>0</v>
      </c>
      <c r="K260" s="15"/>
      <c r="L260" s="15">
        <f>SUM(L247:L259)</f>
        <v>0</v>
      </c>
      <c r="M260" s="15"/>
      <c r="N260" s="15">
        <f>SUM(N247:N259)</f>
        <v>0</v>
      </c>
      <c r="O260" s="15"/>
      <c r="P260" s="15">
        <f>SUM(P247:P259)</f>
        <v>0</v>
      </c>
      <c r="Q260" s="15"/>
      <c r="R260" s="15">
        <f>SUM(R247:R259)</f>
        <v>0</v>
      </c>
      <c r="S260" s="15"/>
      <c r="T260" s="15">
        <f>SUM(T247:T259)</f>
        <v>0</v>
      </c>
      <c r="U260" s="15"/>
      <c r="V260" s="15">
        <f>SUM(V247:V259)</f>
        <v>0</v>
      </c>
      <c r="W260" s="15"/>
      <c r="Y260" s="13"/>
    </row>
    <row r="261" spans="2:28">
      <c r="B261" s="78" t="s">
        <v>205</v>
      </c>
      <c r="C261" s="78"/>
      <c r="D261" s="78"/>
      <c r="E261" s="83"/>
      <c r="F261" s="83"/>
      <c r="G261" s="83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Y261" s="13"/>
    </row>
    <row r="262" spans="2:28">
      <c r="B262" s="16"/>
      <c r="C262" s="16"/>
      <c r="D262" s="16"/>
      <c r="G262" s="14"/>
      <c r="H262" s="14"/>
      <c r="I262" s="14"/>
      <c r="J262" s="14"/>
      <c r="K262" s="84" t="s">
        <v>57</v>
      </c>
      <c r="L262" s="84"/>
      <c r="M262" s="84"/>
      <c r="N262" s="17">
        <v>1400</v>
      </c>
      <c r="O262" s="85" t="s">
        <v>206</v>
      </c>
      <c r="P262" s="85"/>
      <c r="Q262" s="14"/>
      <c r="R262" s="14"/>
      <c r="S262" s="14"/>
      <c r="T262" s="14"/>
      <c r="U262" s="14"/>
      <c r="V262" s="14"/>
      <c r="W262" s="14"/>
      <c r="Y262" s="18"/>
    </row>
    <row r="263" spans="2:28">
      <c r="B263" s="19" t="s">
        <v>58</v>
      </c>
      <c r="C263" s="19"/>
      <c r="F263" s="67">
        <f>SUM(E247:E259)/10</f>
        <v>0</v>
      </c>
      <c r="G263" s="67"/>
      <c r="H263" s="20"/>
      <c r="I263" s="20"/>
      <c r="Y263" s="21"/>
    </row>
    <row r="264" spans="2:28">
      <c r="B264" s="19" t="s">
        <v>59</v>
      </c>
      <c r="F264" s="67">
        <f>SUM(F247:F259)</f>
        <v>0</v>
      </c>
      <c r="G264" s="67"/>
      <c r="I264" s="68">
        <f>E261*F264</f>
        <v>0</v>
      </c>
      <c r="J264" s="68"/>
      <c r="K264" s="68"/>
      <c r="M264" s="69">
        <f>I264/N262</f>
        <v>0</v>
      </c>
      <c r="N264" s="69"/>
      <c r="O264" s="69"/>
    </row>
    <row r="265" spans="2:28" ht="14.45" customHeight="1"/>
    <row r="266" spans="2:28">
      <c r="B266" s="78" t="s">
        <v>60</v>
      </c>
      <c r="C266" s="78"/>
      <c r="D266" s="78"/>
      <c r="F266" s="79">
        <f>1-F263</f>
        <v>1</v>
      </c>
      <c r="G266" s="79"/>
    </row>
    <row r="267" spans="2:28">
      <c r="B267" s="78" t="s">
        <v>61</v>
      </c>
      <c r="C267" s="78"/>
      <c r="D267" s="78"/>
      <c r="F267" s="79">
        <f>1-F264</f>
        <v>1</v>
      </c>
      <c r="G267" s="79"/>
      <c r="I267" s="80">
        <f>E261*F267</f>
        <v>0</v>
      </c>
      <c r="J267" s="80"/>
      <c r="K267" s="80"/>
      <c r="M267" s="81">
        <f>I267/N262</f>
        <v>0</v>
      </c>
      <c r="N267" s="81"/>
      <c r="O267" s="81"/>
    </row>
    <row r="268" spans="2:28" ht="14.45" customHeight="1"/>
    <row r="269" spans="2:28" ht="15" customHeight="1">
      <c r="B269" s="16" t="s">
        <v>62</v>
      </c>
      <c r="C269" s="16"/>
      <c r="D269" s="16"/>
      <c r="F269" s="62">
        <f>1-(F249+F250+F252+F253+F254+F255+F256+F257+F258)</f>
        <v>1</v>
      </c>
      <c r="G269" s="62"/>
      <c r="I269" s="63">
        <f>I267*F269</f>
        <v>0</v>
      </c>
      <c r="J269" s="63"/>
      <c r="K269" s="63"/>
      <c r="M269" s="64">
        <f>M267*F269</f>
        <v>0</v>
      </c>
      <c r="N269" s="64"/>
      <c r="O269" s="64"/>
      <c r="P269" s="65" t="s">
        <v>63</v>
      </c>
      <c r="Q269" s="65"/>
      <c r="R269" s="65"/>
      <c r="S269" s="65"/>
      <c r="T269" s="65"/>
    </row>
    <row r="270" spans="2:28">
      <c r="B270" s="16" t="s">
        <v>64</v>
      </c>
      <c r="F270" s="66"/>
      <c r="G270" s="66"/>
      <c r="I270" s="63">
        <f>I267-I269</f>
        <v>0</v>
      </c>
      <c r="J270" s="63"/>
      <c r="K270" s="63"/>
      <c r="M270" s="64">
        <f>M267-M269</f>
        <v>0</v>
      </c>
      <c r="N270" s="64"/>
      <c r="O270" s="64"/>
      <c r="P270" s="65"/>
      <c r="Q270" s="65"/>
      <c r="R270" s="65"/>
      <c r="S270" s="65"/>
      <c r="T270" s="65"/>
    </row>
    <row r="272" spans="2:28">
      <c r="G272" s="72">
        <f>$E$290*H289</f>
        <v>0</v>
      </c>
      <c r="H272" s="73"/>
      <c r="I272" s="72">
        <f t="shared" ref="I272" si="101">$E$290*J289</f>
        <v>0</v>
      </c>
      <c r="J272" s="73"/>
      <c r="K272" s="72">
        <f t="shared" ref="K272" si="102">$E$290*L289</f>
        <v>0</v>
      </c>
      <c r="L272" s="73"/>
      <c r="M272" s="72">
        <f t="shared" ref="M272" si="103">$E$290*N289</f>
        <v>0</v>
      </c>
      <c r="N272" s="73"/>
      <c r="O272" s="72">
        <f t="shared" ref="O272" si="104">$E$290*P289</f>
        <v>0</v>
      </c>
      <c r="P272" s="73"/>
      <c r="Q272" s="72">
        <f t="shared" ref="Q272" si="105">$E$290*R289</f>
        <v>0</v>
      </c>
      <c r="R272" s="73"/>
      <c r="S272" s="72">
        <f t="shared" ref="S272" si="106">$E$290*T289</f>
        <v>0</v>
      </c>
      <c r="T272" s="73"/>
      <c r="U272" s="72">
        <f t="shared" ref="U272" si="107">$E$290*V289</f>
        <v>0</v>
      </c>
      <c r="V272" s="73"/>
      <c r="W272" s="2"/>
    </row>
    <row r="273" spans="2:28" ht="15" customHeight="1">
      <c r="D273" s="86" t="s">
        <v>2</v>
      </c>
      <c r="E273" s="86" t="s">
        <v>3</v>
      </c>
      <c r="F273" s="87" t="s">
        <v>4</v>
      </c>
      <c r="G273" s="88" t="s">
        <v>5</v>
      </c>
      <c r="H273" s="88"/>
      <c r="I273" s="74" t="s">
        <v>6</v>
      </c>
      <c r="J273" s="74"/>
      <c r="K273" s="74" t="s">
        <v>7</v>
      </c>
      <c r="L273" s="74"/>
      <c r="M273" s="74" t="s">
        <v>8</v>
      </c>
      <c r="N273" s="74"/>
      <c r="O273" s="74" t="s">
        <v>9</v>
      </c>
      <c r="P273" s="74"/>
      <c r="Q273" s="74" t="s">
        <v>10</v>
      </c>
      <c r="R273" s="74"/>
      <c r="S273" s="75" t="s">
        <v>11</v>
      </c>
      <c r="T273" s="75"/>
      <c r="U273" s="75" t="s">
        <v>12</v>
      </c>
      <c r="V273" s="75"/>
      <c r="W273" s="55"/>
    </row>
    <row r="274" spans="2:28" ht="15" customHeight="1">
      <c r="D274" s="86"/>
      <c r="E274" s="86"/>
      <c r="F274" s="87"/>
      <c r="G274" s="76" t="s">
        <v>13</v>
      </c>
      <c r="H274" s="76" t="s">
        <v>14</v>
      </c>
      <c r="I274" s="70" t="s">
        <v>13</v>
      </c>
      <c r="J274" s="70" t="s">
        <v>14</v>
      </c>
      <c r="K274" s="76" t="s">
        <v>13</v>
      </c>
      <c r="L274" s="76" t="s">
        <v>14</v>
      </c>
      <c r="M274" s="70" t="s">
        <v>13</v>
      </c>
      <c r="N274" s="70" t="s">
        <v>14</v>
      </c>
      <c r="O274" s="76" t="s">
        <v>13</v>
      </c>
      <c r="P274" s="76" t="s">
        <v>14</v>
      </c>
      <c r="Q274" s="70" t="s">
        <v>13</v>
      </c>
      <c r="R274" s="70" t="s">
        <v>14</v>
      </c>
      <c r="S274" s="76" t="s">
        <v>13</v>
      </c>
      <c r="T274" s="76" t="s">
        <v>14</v>
      </c>
      <c r="U274" s="70" t="s">
        <v>13</v>
      </c>
      <c r="V274" s="70" t="s">
        <v>14</v>
      </c>
      <c r="W274" s="56"/>
    </row>
    <row r="275" spans="2:28" ht="57.75" customHeight="1">
      <c r="D275" s="86"/>
      <c r="E275" s="86"/>
      <c r="F275" s="87"/>
      <c r="G275" s="77"/>
      <c r="H275" s="77"/>
      <c r="I275" s="71"/>
      <c r="J275" s="71"/>
      <c r="K275" s="77"/>
      <c r="L275" s="77"/>
      <c r="M275" s="71"/>
      <c r="N275" s="71"/>
      <c r="O275" s="77"/>
      <c r="P275" s="77"/>
      <c r="Q275" s="71"/>
      <c r="R275" s="71"/>
      <c r="S275" s="77"/>
      <c r="T275" s="77"/>
      <c r="U275" s="71"/>
      <c r="V275" s="71"/>
      <c r="W275" s="56"/>
      <c r="Y275" s="3" t="s">
        <v>188</v>
      </c>
      <c r="Z275" s="3" t="s">
        <v>189</v>
      </c>
      <c r="AA275" s="3" t="s">
        <v>190</v>
      </c>
      <c r="AB275" s="3" t="s">
        <v>191</v>
      </c>
    </row>
    <row r="276" spans="2:28" ht="15" customHeight="1">
      <c r="B276" s="82" t="s">
        <v>207</v>
      </c>
      <c r="C276" s="5" t="s">
        <v>20</v>
      </c>
      <c r="D276" s="30">
        <v>0.01</v>
      </c>
      <c r="E276" s="7">
        <f>SUM(G276,I276,K276,M276,O276,Q276,S276,U276)</f>
        <v>0</v>
      </c>
      <c r="F276" s="8">
        <f>D276*E276</f>
        <v>0</v>
      </c>
      <c r="G276" s="9">
        <v>0</v>
      </c>
      <c r="H276" s="9">
        <f>G276*D276</f>
        <v>0</v>
      </c>
      <c r="I276" s="10">
        <v>0</v>
      </c>
      <c r="J276" s="10">
        <f>I276*D276</f>
        <v>0</v>
      </c>
      <c r="K276" s="9">
        <v>0</v>
      </c>
      <c r="L276" s="9">
        <f>K276*D276</f>
        <v>0</v>
      </c>
      <c r="M276" s="10">
        <v>0</v>
      </c>
      <c r="N276" s="10">
        <f>M276*D276</f>
        <v>0</v>
      </c>
      <c r="O276" s="9">
        <v>0</v>
      </c>
      <c r="P276" s="9">
        <f>O276*D276</f>
        <v>0</v>
      </c>
      <c r="Q276" s="10">
        <v>0</v>
      </c>
      <c r="R276" s="11">
        <f>Q276*D276</f>
        <v>0</v>
      </c>
      <c r="S276" s="9">
        <v>0</v>
      </c>
      <c r="T276" s="9">
        <f>S276*D276</f>
        <v>0</v>
      </c>
      <c r="U276" s="10">
        <v>0</v>
      </c>
      <c r="V276" s="12">
        <f>U276*D276</f>
        <v>0</v>
      </c>
      <c r="W276" s="40"/>
      <c r="Y276" s="22"/>
      <c r="Z276" s="22"/>
      <c r="AA276" s="23"/>
      <c r="AB276" s="23"/>
    </row>
    <row r="277" spans="2:28">
      <c r="B277" s="82"/>
      <c r="C277" s="5" t="s">
        <v>25</v>
      </c>
      <c r="D277" s="30">
        <v>0.01</v>
      </c>
      <c r="E277" s="7">
        <f>SUM(G277,I277,K277,M277,O277,Q277,S277,U277)</f>
        <v>0</v>
      </c>
      <c r="F277" s="8">
        <f>D277*E277</f>
        <v>0</v>
      </c>
      <c r="G277" s="9">
        <v>0</v>
      </c>
      <c r="H277" s="9">
        <f t="shared" ref="H277:H288" si="108">G277*D277</f>
        <v>0</v>
      </c>
      <c r="I277" s="10">
        <v>0</v>
      </c>
      <c r="J277" s="10">
        <f t="shared" ref="J277:J288" si="109">I277*D277</f>
        <v>0</v>
      </c>
      <c r="K277" s="9">
        <v>0</v>
      </c>
      <c r="L277" s="9">
        <f t="shared" ref="L277:L288" si="110">K277*D277</f>
        <v>0</v>
      </c>
      <c r="M277" s="10">
        <v>0</v>
      </c>
      <c r="N277" s="10">
        <f t="shared" ref="N277:N288" si="111">M277*D277</f>
        <v>0</v>
      </c>
      <c r="O277" s="9">
        <v>0</v>
      </c>
      <c r="P277" s="9">
        <f t="shared" ref="P277:P288" si="112">O277*D277</f>
        <v>0</v>
      </c>
      <c r="Q277" s="10">
        <v>0</v>
      </c>
      <c r="R277" s="11">
        <f t="shared" ref="R277:R288" si="113">Q277*D277</f>
        <v>0</v>
      </c>
      <c r="S277" s="9">
        <v>0</v>
      </c>
      <c r="T277" s="9">
        <f t="shared" ref="T277:T288" si="114">S277*D277</f>
        <v>0</v>
      </c>
      <c r="U277" s="10">
        <v>0</v>
      </c>
      <c r="V277" s="12">
        <f t="shared" ref="V277:V288" si="115">U277*D277</f>
        <v>0</v>
      </c>
      <c r="W277" s="40"/>
      <c r="Y277" s="22"/>
      <c r="Z277" s="22"/>
      <c r="AA277" s="22"/>
      <c r="AB277" s="22"/>
    </row>
    <row r="278" spans="2:28">
      <c r="B278" s="82"/>
      <c r="C278" s="5" t="s">
        <v>30</v>
      </c>
      <c r="D278" s="30">
        <v>0.01</v>
      </c>
      <c r="E278" s="7">
        <f t="shared" ref="E278:E288" si="116">SUM(G278,I278,K278,M278,O278,Q278,S278,U278)</f>
        <v>0</v>
      </c>
      <c r="F278" s="8">
        <f t="shared" ref="F278:F288" si="117">D278*E278</f>
        <v>0</v>
      </c>
      <c r="G278" s="9">
        <v>0</v>
      </c>
      <c r="H278" s="9">
        <f t="shared" si="108"/>
        <v>0</v>
      </c>
      <c r="I278" s="10">
        <v>0</v>
      </c>
      <c r="J278" s="10">
        <f t="shared" si="109"/>
        <v>0</v>
      </c>
      <c r="K278" s="9">
        <v>0</v>
      </c>
      <c r="L278" s="9">
        <f t="shared" si="110"/>
        <v>0</v>
      </c>
      <c r="M278" s="10">
        <v>0</v>
      </c>
      <c r="N278" s="10">
        <f t="shared" si="111"/>
        <v>0</v>
      </c>
      <c r="O278" s="9">
        <v>0</v>
      </c>
      <c r="P278" s="9">
        <f t="shared" si="112"/>
        <v>0</v>
      </c>
      <c r="Q278" s="10">
        <v>0</v>
      </c>
      <c r="R278" s="11">
        <f t="shared" si="113"/>
        <v>0</v>
      </c>
      <c r="S278" s="9">
        <v>0</v>
      </c>
      <c r="T278" s="9">
        <f t="shared" si="114"/>
        <v>0</v>
      </c>
      <c r="U278" s="10">
        <v>0</v>
      </c>
      <c r="V278" s="12">
        <f t="shared" si="115"/>
        <v>0</v>
      </c>
      <c r="W278" s="40"/>
      <c r="Y278" s="22"/>
      <c r="Z278" s="22"/>
      <c r="AA278" s="22"/>
      <c r="AB278" s="22"/>
    </row>
    <row r="279" spans="2:28">
      <c r="B279" s="82"/>
      <c r="C279" s="5" t="s">
        <v>32</v>
      </c>
      <c r="D279" s="30">
        <v>0.01</v>
      </c>
      <c r="E279" s="7">
        <f t="shared" si="116"/>
        <v>0</v>
      </c>
      <c r="F279" s="8">
        <f t="shared" si="117"/>
        <v>0</v>
      </c>
      <c r="G279" s="9">
        <v>0</v>
      </c>
      <c r="H279" s="9">
        <f t="shared" si="108"/>
        <v>0</v>
      </c>
      <c r="I279" s="10">
        <v>0</v>
      </c>
      <c r="J279" s="10">
        <f t="shared" si="109"/>
        <v>0</v>
      </c>
      <c r="K279" s="9">
        <v>0</v>
      </c>
      <c r="L279" s="9">
        <f t="shared" si="110"/>
        <v>0</v>
      </c>
      <c r="M279" s="10">
        <v>0</v>
      </c>
      <c r="N279" s="10">
        <f t="shared" si="111"/>
        <v>0</v>
      </c>
      <c r="O279" s="9">
        <v>0</v>
      </c>
      <c r="P279" s="9">
        <f t="shared" si="112"/>
        <v>0</v>
      </c>
      <c r="Q279" s="10">
        <v>0</v>
      </c>
      <c r="R279" s="11">
        <f t="shared" si="113"/>
        <v>0</v>
      </c>
      <c r="S279" s="9">
        <v>0</v>
      </c>
      <c r="T279" s="9">
        <f t="shared" si="114"/>
        <v>0</v>
      </c>
      <c r="U279" s="10">
        <v>0</v>
      </c>
      <c r="V279" s="12">
        <f t="shared" si="115"/>
        <v>0</v>
      </c>
      <c r="W279" s="40"/>
      <c r="Y279" s="22"/>
      <c r="Z279" s="23"/>
      <c r="AA279" s="23"/>
      <c r="AB279" s="23"/>
    </row>
    <row r="280" spans="2:28">
      <c r="B280" s="82"/>
      <c r="C280" s="29" t="s">
        <v>37</v>
      </c>
      <c r="D280" s="30">
        <v>0.01</v>
      </c>
      <c r="E280" s="7">
        <f t="shared" si="116"/>
        <v>0</v>
      </c>
      <c r="F280" s="8">
        <f t="shared" si="117"/>
        <v>0</v>
      </c>
      <c r="G280" s="9">
        <v>0</v>
      </c>
      <c r="H280" s="9">
        <f t="shared" si="108"/>
        <v>0</v>
      </c>
      <c r="I280" s="10">
        <v>0</v>
      </c>
      <c r="J280" s="10">
        <f t="shared" si="109"/>
        <v>0</v>
      </c>
      <c r="K280" s="9">
        <v>0</v>
      </c>
      <c r="L280" s="9">
        <f t="shared" si="110"/>
        <v>0</v>
      </c>
      <c r="M280" s="10">
        <v>0</v>
      </c>
      <c r="N280" s="10">
        <f t="shared" si="111"/>
        <v>0</v>
      </c>
      <c r="O280" s="9">
        <v>0</v>
      </c>
      <c r="P280" s="9">
        <f t="shared" si="112"/>
        <v>0</v>
      </c>
      <c r="Q280" s="10">
        <v>0</v>
      </c>
      <c r="R280" s="11">
        <f t="shared" si="113"/>
        <v>0</v>
      </c>
      <c r="S280" s="9">
        <v>0</v>
      </c>
      <c r="T280" s="9">
        <f t="shared" si="114"/>
        <v>0</v>
      </c>
      <c r="U280" s="10">
        <v>0</v>
      </c>
      <c r="V280" s="12">
        <f t="shared" si="115"/>
        <v>0</v>
      </c>
      <c r="W280" s="40"/>
      <c r="Y280" s="22"/>
      <c r="Z280" s="22"/>
      <c r="AA280" s="22"/>
      <c r="AB280" s="22"/>
    </row>
    <row r="281" spans="2:28">
      <c r="B281" s="82"/>
      <c r="C281" s="5" t="s">
        <v>41</v>
      </c>
      <c r="D281" s="30">
        <v>0.01</v>
      </c>
      <c r="E281" s="7">
        <f t="shared" si="116"/>
        <v>0</v>
      </c>
      <c r="F281" s="8">
        <f t="shared" si="117"/>
        <v>0</v>
      </c>
      <c r="G281" s="9">
        <v>0</v>
      </c>
      <c r="H281" s="9">
        <f t="shared" si="108"/>
        <v>0</v>
      </c>
      <c r="I281" s="10">
        <v>0</v>
      </c>
      <c r="J281" s="10">
        <f t="shared" si="109"/>
        <v>0</v>
      </c>
      <c r="K281" s="9">
        <v>0</v>
      </c>
      <c r="L281" s="9">
        <f t="shared" si="110"/>
        <v>0</v>
      </c>
      <c r="M281" s="10">
        <v>0</v>
      </c>
      <c r="N281" s="10">
        <f t="shared" si="111"/>
        <v>0</v>
      </c>
      <c r="O281" s="9">
        <v>0</v>
      </c>
      <c r="P281" s="9">
        <f t="shared" si="112"/>
        <v>0</v>
      </c>
      <c r="Q281" s="10">
        <v>0</v>
      </c>
      <c r="R281" s="11">
        <f t="shared" si="113"/>
        <v>0</v>
      </c>
      <c r="S281" s="9">
        <v>0</v>
      </c>
      <c r="T281" s="9">
        <f t="shared" si="114"/>
        <v>0</v>
      </c>
      <c r="U281" s="10">
        <v>0</v>
      </c>
      <c r="V281" s="12">
        <f t="shared" si="115"/>
        <v>0</v>
      </c>
      <c r="W281" s="40"/>
      <c r="Y281" s="22"/>
      <c r="Z281" s="22"/>
      <c r="AA281" s="22"/>
      <c r="AB281" s="22"/>
    </row>
    <row r="282" spans="2:28">
      <c r="B282" s="82"/>
      <c r="C282" s="5" t="s">
        <v>46</v>
      </c>
      <c r="D282" s="30">
        <v>0.01</v>
      </c>
      <c r="E282" s="7">
        <f t="shared" si="116"/>
        <v>0</v>
      </c>
      <c r="F282" s="8">
        <f t="shared" si="117"/>
        <v>0</v>
      </c>
      <c r="G282" s="9">
        <v>0</v>
      </c>
      <c r="H282" s="9">
        <f t="shared" si="108"/>
        <v>0</v>
      </c>
      <c r="I282" s="10">
        <v>0</v>
      </c>
      <c r="J282" s="10">
        <f t="shared" si="109"/>
        <v>0</v>
      </c>
      <c r="K282" s="9">
        <v>0</v>
      </c>
      <c r="L282" s="9">
        <f t="shared" si="110"/>
        <v>0</v>
      </c>
      <c r="M282" s="10">
        <v>0</v>
      </c>
      <c r="N282" s="10">
        <f t="shared" si="111"/>
        <v>0</v>
      </c>
      <c r="O282" s="9">
        <v>0</v>
      </c>
      <c r="P282" s="9">
        <f t="shared" si="112"/>
        <v>0</v>
      </c>
      <c r="Q282" s="10">
        <v>0</v>
      </c>
      <c r="R282" s="11">
        <f t="shared" si="113"/>
        <v>0</v>
      </c>
      <c r="S282" s="9">
        <v>0</v>
      </c>
      <c r="T282" s="9">
        <f t="shared" si="114"/>
        <v>0</v>
      </c>
      <c r="U282" s="10">
        <v>0</v>
      </c>
      <c r="V282" s="12">
        <f t="shared" si="115"/>
        <v>0</v>
      </c>
      <c r="W282" s="40"/>
      <c r="Y282" s="22"/>
      <c r="Z282" s="22"/>
      <c r="AA282" s="23"/>
      <c r="AB282" s="23"/>
    </row>
    <row r="283" spans="2:28">
      <c r="B283" s="82"/>
      <c r="C283" s="5" t="s">
        <v>51</v>
      </c>
      <c r="D283" s="30">
        <v>0.01</v>
      </c>
      <c r="E283" s="7">
        <f t="shared" si="116"/>
        <v>0</v>
      </c>
      <c r="F283" s="8">
        <f t="shared" si="117"/>
        <v>0</v>
      </c>
      <c r="G283" s="9">
        <v>0</v>
      </c>
      <c r="H283" s="9">
        <f t="shared" si="108"/>
        <v>0</v>
      </c>
      <c r="I283" s="10">
        <v>0</v>
      </c>
      <c r="J283" s="10">
        <f t="shared" si="109"/>
        <v>0</v>
      </c>
      <c r="K283" s="9">
        <v>0</v>
      </c>
      <c r="L283" s="9">
        <f t="shared" si="110"/>
        <v>0</v>
      </c>
      <c r="M283" s="10">
        <v>0</v>
      </c>
      <c r="N283" s="10">
        <f t="shared" si="111"/>
        <v>0</v>
      </c>
      <c r="O283" s="9">
        <v>0</v>
      </c>
      <c r="P283" s="9">
        <f t="shared" si="112"/>
        <v>0</v>
      </c>
      <c r="Q283" s="10">
        <v>0</v>
      </c>
      <c r="R283" s="11">
        <f t="shared" si="113"/>
        <v>0</v>
      </c>
      <c r="S283" s="9">
        <v>0</v>
      </c>
      <c r="T283" s="9">
        <f t="shared" si="114"/>
        <v>0</v>
      </c>
      <c r="U283" s="10">
        <v>0</v>
      </c>
      <c r="V283" s="12">
        <f t="shared" si="115"/>
        <v>0</v>
      </c>
      <c r="W283" s="40"/>
      <c r="Y283" s="22"/>
      <c r="Z283" s="22"/>
      <c r="AA283" s="22"/>
      <c r="AB283" s="22"/>
    </row>
    <row r="284" spans="2:28">
      <c r="B284" s="82"/>
      <c r="C284" s="5" t="s">
        <v>55</v>
      </c>
      <c r="D284" s="30">
        <v>0</v>
      </c>
      <c r="E284" s="7">
        <f t="shared" si="116"/>
        <v>0</v>
      </c>
      <c r="F284" s="8">
        <f t="shared" si="117"/>
        <v>0</v>
      </c>
      <c r="G284" s="9">
        <v>0</v>
      </c>
      <c r="H284" s="9">
        <f t="shared" si="108"/>
        <v>0</v>
      </c>
      <c r="I284" s="10">
        <v>0</v>
      </c>
      <c r="J284" s="10">
        <f t="shared" si="109"/>
        <v>0</v>
      </c>
      <c r="K284" s="9">
        <v>0</v>
      </c>
      <c r="L284" s="9">
        <f t="shared" si="110"/>
        <v>0</v>
      </c>
      <c r="M284" s="10">
        <v>0</v>
      </c>
      <c r="N284" s="10">
        <f t="shared" si="111"/>
        <v>0</v>
      </c>
      <c r="O284" s="9">
        <v>0</v>
      </c>
      <c r="P284" s="9">
        <f t="shared" si="112"/>
        <v>0</v>
      </c>
      <c r="Q284" s="10">
        <v>0</v>
      </c>
      <c r="R284" s="11">
        <f t="shared" si="113"/>
        <v>0</v>
      </c>
      <c r="S284" s="9">
        <v>0</v>
      </c>
      <c r="T284" s="9">
        <f t="shared" si="114"/>
        <v>0</v>
      </c>
      <c r="U284" s="10">
        <v>0</v>
      </c>
      <c r="V284" s="12">
        <f t="shared" si="115"/>
        <v>0</v>
      </c>
      <c r="W284" s="40"/>
      <c r="Y284" s="22"/>
      <c r="Z284" s="22"/>
      <c r="AA284" s="23"/>
      <c r="AB284" s="23"/>
    </row>
    <row r="285" spans="2:28">
      <c r="B285" s="82"/>
      <c r="C285" s="5" t="s">
        <v>55</v>
      </c>
      <c r="D285" s="30">
        <v>0</v>
      </c>
      <c r="E285" s="7">
        <f t="shared" si="116"/>
        <v>0</v>
      </c>
      <c r="F285" s="8">
        <f t="shared" si="117"/>
        <v>0</v>
      </c>
      <c r="G285" s="9">
        <v>0</v>
      </c>
      <c r="H285" s="9">
        <f t="shared" si="108"/>
        <v>0</v>
      </c>
      <c r="I285" s="10">
        <v>0</v>
      </c>
      <c r="J285" s="10">
        <f t="shared" si="109"/>
        <v>0</v>
      </c>
      <c r="K285" s="9">
        <v>0</v>
      </c>
      <c r="L285" s="9">
        <f t="shared" si="110"/>
        <v>0</v>
      </c>
      <c r="M285" s="10">
        <v>0</v>
      </c>
      <c r="N285" s="10">
        <f t="shared" si="111"/>
        <v>0</v>
      </c>
      <c r="O285" s="9">
        <v>0</v>
      </c>
      <c r="P285" s="9">
        <f t="shared" si="112"/>
        <v>0</v>
      </c>
      <c r="Q285" s="10">
        <v>0</v>
      </c>
      <c r="R285" s="11">
        <f t="shared" si="113"/>
        <v>0</v>
      </c>
      <c r="S285" s="9">
        <v>0</v>
      </c>
      <c r="T285" s="9">
        <f t="shared" si="114"/>
        <v>0</v>
      </c>
      <c r="U285" s="10">
        <v>0</v>
      </c>
      <c r="V285" s="12">
        <f t="shared" si="115"/>
        <v>0</v>
      </c>
      <c r="W285" s="40"/>
      <c r="Y285" s="22"/>
      <c r="Z285" s="22"/>
      <c r="AA285" s="22"/>
      <c r="AB285" s="22"/>
    </row>
    <row r="286" spans="2:28">
      <c r="B286" s="82"/>
      <c r="C286" s="5" t="s">
        <v>55</v>
      </c>
      <c r="D286" s="30">
        <v>0</v>
      </c>
      <c r="E286" s="7">
        <f t="shared" si="116"/>
        <v>0</v>
      </c>
      <c r="F286" s="8">
        <f t="shared" si="117"/>
        <v>0</v>
      </c>
      <c r="G286" s="9">
        <v>0</v>
      </c>
      <c r="H286" s="9">
        <f t="shared" si="108"/>
        <v>0</v>
      </c>
      <c r="I286" s="10">
        <v>0</v>
      </c>
      <c r="J286" s="10">
        <f t="shared" si="109"/>
        <v>0</v>
      </c>
      <c r="K286" s="9">
        <v>0</v>
      </c>
      <c r="L286" s="9">
        <f t="shared" si="110"/>
        <v>0</v>
      </c>
      <c r="M286" s="10">
        <v>0</v>
      </c>
      <c r="N286" s="10">
        <f t="shared" si="111"/>
        <v>0</v>
      </c>
      <c r="O286" s="9">
        <v>0</v>
      </c>
      <c r="P286" s="9">
        <f t="shared" si="112"/>
        <v>0</v>
      </c>
      <c r="Q286" s="10">
        <v>0</v>
      </c>
      <c r="R286" s="11">
        <f t="shared" si="113"/>
        <v>0</v>
      </c>
      <c r="S286" s="9">
        <v>0</v>
      </c>
      <c r="T286" s="9">
        <f t="shared" si="114"/>
        <v>0</v>
      </c>
      <c r="U286" s="10">
        <v>0</v>
      </c>
      <c r="V286" s="12">
        <f t="shared" si="115"/>
        <v>0</v>
      </c>
      <c r="W286" s="40"/>
      <c r="Y286" s="23"/>
      <c r="Z286" s="23"/>
      <c r="AA286" s="23"/>
      <c r="AB286" s="23"/>
    </row>
    <row r="287" spans="2:28">
      <c r="B287" s="82"/>
      <c r="C287" s="5" t="s">
        <v>55</v>
      </c>
      <c r="D287" s="30">
        <v>0</v>
      </c>
      <c r="E287" s="7">
        <f t="shared" si="116"/>
        <v>0</v>
      </c>
      <c r="F287" s="8">
        <f t="shared" si="117"/>
        <v>0</v>
      </c>
      <c r="G287" s="9">
        <v>0</v>
      </c>
      <c r="H287" s="9">
        <f t="shared" si="108"/>
        <v>0</v>
      </c>
      <c r="I287" s="10">
        <v>0</v>
      </c>
      <c r="J287" s="10">
        <f t="shared" si="109"/>
        <v>0</v>
      </c>
      <c r="K287" s="9">
        <v>0</v>
      </c>
      <c r="L287" s="9">
        <f t="shared" si="110"/>
        <v>0</v>
      </c>
      <c r="M287" s="10">
        <v>0</v>
      </c>
      <c r="N287" s="10">
        <f t="shared" si="111"/>
        <v>0</v>
      </c>
      <c r="O287" s="9">
        <v>0</v>
      </c>
      <c r="P287" s="9">
        <f t="shared" si="112"/>
        <v>0</v>
      </c>
      <c r="Q287" s="10">
        <v>0</v>
      </c>
      <c r="R287" s="11">
        <f t="shared" si="113"/>
        <v>0</v>
      </c>
      <c r="S287" s="9">
        <v>0</v>
      </c>
      <c r="T287" s="9">
        <f t="shared" si="114"/>
        <v>0</v>
      </c>
      <c r="U287" s="10">
        <v>0</v>
      </c>
      <c r="V287" s="12">
        <f t="shared" si="115"/>
        <v>0</v>
      </c>
      <c r="W287" s="40"/>
      <c r="Y287" s="22"/>
      <c r="Z287" s="22"/>
      <c r="AA287" s="22"/>
      <c r="AB287" s="22"/>
    </row>
    <row r="288" spans="2:28">
      <c r="B288" s="82"/>
      <c r="C288" s="5" t="s">
        <v>55</v>
      </c>
      <c r="D288" s="30">
        <v>0</v>
      </c>
      <c r="E288" s="7">
        <f t="shared" si="116"/>
        <v>0</v>
      </c>
      <c r="F288" s="8">
        <f t="shared" si="117"/>
        <v>0</v>
      </c>
      <c r="G288" s="9">
        <v>0</v>
      </c>
      <c r="H288" s="9">
        <f t="shared" si="108"/>
        <v>0</v>
      </c>
      <c r="I288" s="10">
        <v>0</v>
      </c>
      <c r="J288" s="10">
        <f t="shared" si="109"/>
        <v>0</v>
      </c>
      <c r="K288" s="9">
        <v>0</v>
      </c>
      <c r="L288" s="9">
        <f t="shared" si="110"/>
        <v>0</v>
      </c>
      <c r="M288" s="10">
        <v>0</v>
      </c>
      <c r="N288" s="10">
        <f t="shared" si="111"/>
        <v>0</v>
      </c>
      <c r="O288" s="9">
        <v>0</v>
      </c>
      <c r="P288" s="9">
        <f t="shared" si="112"/>
        <v>0</v>
      </c>
      <c r="Q288" s="10">
        <v>0</v>
      </c>
      <c r="R288" s="11">
        <f t="shared" si="113"/>
        <v>0</v>
      </c>
      <c r="S288" s="9">
        <v>0</v>
      </c>
      <c r="T288" s="9">
        <f t="shared" si="114"/>
        <v>0</v>
      </c>
      <c r="U288" s="10">
        <v>0</v>
      </c>
      <c r="V288" s="12">
        <f t="shared" si="115"/>
        <v>0</v>
      </c>
      <c r="W288" s="40"/>
      <c r="Y288" s="22"/>
      <c r="Z288" s="23"/>
      <c r="AA288" s="23"/>
      <c r="AB288" s="23"/>
    </row>
    <row r="289" spans="2:28">
      <c r="G289" s="14"/>
      <c r="H289" s="15">
        <f>SUM(H276:H288)</f>
        <v>0</v>
      </c>
      <c r="I289" s="15"/>
      <c r="J289" s="15">
        <f>SUM(J276:J288)</f>
        <v>0</v>
      </c>
      <c r="K289" s="15"/>
      <c r="L289" s="15">
        <f>SUM(L276:L288)</f>
        <v>0</v>
      </c>
      <c r="M289" s="15"/>
      <c r="N289" s="15">
        <f>SUM(N276:N288)</f>
        <v>0</v>
      </c>
      <c r="O289" s="15"/>
      <c r="P289" s="15">
        <f>SUM(P276:P288)</f>
        <v>0</v>
      </c>
      <c r="Q289" s="15"/>
      <c r="R289" s="15">
        <f>SUM(R276:R288)</f>
        <v>0</v>
      </c>
      <c r="S289" s="15"/>
      <c r="T289" s="15">
        <f>SUM(T276:T288)</f>
        <v>0</v>
      </c>
      <c r="U289" s="15"/>
      <c r="V289" s="15">
        <f>SUM(V276:V288)</f>
        <v>0</v>
      </c>
      <c r="W289" s="15"/>
      <c r="Y289" s="13"/>
    </row>
    <row r="290" spans="2:28">
      <c r="B290" s="78" t="s">
        <v>208</v>
      </c>
      <c r="C290" s="78"/>
      <c r="D290" s="78"/>
      <c r="E290" s="83"/>
      <c r="F290" s="83"/>
      <c r="G290" s="83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Y290" s="13"/>
    </row>
    <row r="291" spans="2:28">
      <c r="B291" s="16"/>
      <c r="C291" s="16"/>
      <c r="D291" s="16"/>
      <c r="G291" s="14"/>
      <c r="H291" s="14"/>
      <c r="I291" s="14"/>
      <c r="J291" s="14"/>
      <c r="K291" s="84" t="s">
        <v>57</v>
      </c>
      <c r="L291" s="84"/>
      <c r="M291" s="84"/>
      <c r="N291" s="17">
        <v>1475</v>
      </c>
      <c r="O291" s="85" t="s">
        <v>209</v>
      </c>
      <c r="P291" s="85"/>
      <c r="Q291" s="14"/>
      <c r="R291" s="14"/>
      <c r="S291" s="14"/>
      <c r="T291" s="14"/>
      <c r="U291" s="14"/>
      <c r="V291" s="14"/>
      <c r="W291" s="14"/>
      <c r="Y291" s="18"/>
    </row>
    <row r="292" spans="2:28">
      <c r="B292" s="19" t="s">
        <v>58</v>
      </c>
      <c r="C292" s="19"/>
      <c r="F292" s="67">
        <f>SUM(E276:E288)/10</f>
        <v>0</v>
      </c>
      <c r="G292" s="67"/>
      <c r="H292" s="20"/>
      <c r="I292" s="20"/>
      <c r="Y292" s="21"/>
    </row>
    <row r="293" spans="2:28">
      <c r="B293" s="19" t="s">
        <v>59</v>
      </c>
      <c r="F293" s="67">
        <f>SUM(F276:F288)</f>
        <v>0</v>
      </c>
      <c r="G293" s="67"/>
      <c r="I293" s="68">
        <f>E290*F293</f>
        <v>0</v>
      </c>
      <c r="J293" s="68"/>
      <c r="K293" s="68"/>
      <c r="M293" s="69">
        <f>I293/N291</f>
        <v>0</v>
      </c>
      <c r="N293" s="69"/>
      <c r="O293" s="69"/>
    </row>
    <row r="294" spans="2:28" ht="14.45" customHeight="1"/>
    <row r="295" spans="2:28">
      <c r="B295" s="78" t="s">
        <v>60</v>
      </c>
      <c r="C295" s="78"/>
      <c r="D295" s="78"/>
      <c r="F295" s="79">
        <f>1-F292</f>
        <v>1</v>
      </c>
      <c r="G295" s="79"/>
    </row>
    <row r="296" spans="2:28">
      <c r="B296" s="78" t="s">
        <v>61</v>
      </c>
      <c r="C296" s="78"/>
      <c r="D296" s="78"/>
      <c r="F296" s="79">
        <f>1-F293</f>
        <v>1</v>
      </c>
      <c r="G296" s="79"/>
      <c r="I296" s="80">
        <f>E290*F296</f>
        <v>0</v>
      </c>
      <c r="J296" s="80"/>
      <c r="K296" s="80"/>
      <c r="M296" s="81">
        <f>I296/N291</f>
        <v>0</v>
      </c>
      <c r="N296" s="81"/>
      <c r="O296" s="81"/>
    </row>
    <row r="297" spans="2:28" ht="14.45" customHeight="1"/>
    <row r="298" spans="2:28" ht="15" customHeight="1">
      <c r="B298" s="16" t="s">
        <v>62</v>
      </c>
      <c r="C298" s="16"/>
      <c r="D298" s="16"/>
      <c r="F298" s="62">
        <f>1-(F278+F279+F281+F282+F283+F284+F285+F286+F287)</f>
        <v>1</v>
      </c>
      <c r="G298" s="62"/>
      <c r="I298" s="63">
        <f>I296*F298</f>
        <v>0</v>
      </c>
      <c r="J298" s="63"/>
      <c r="K298" s="63"/>
      <c r="M298" s="64">
        <f>M296*F298</f>
        <v>0</v>
      </c>
      <c r="N298" s="64"/>
      <c r="O298" s="64"/>
      <c r="P298" s="65" t="s">
        <v>63</v>
      </c>
      <c r="Q298" s="65"/>
      <c r="R298" s="65"/>
      <c r="S298" s="65"/>
      <c r="T298" s="65"/>
    </row>
    <row r="299" spans="2:28">
      <c r="B299" s="16" t="s">
        <v>64</v>
      </c>
      <c r="F299" s="66"/>
      <c r="G299" s="66"/>
      <c r="I299" s="63">
        <f>I296-I298</f>
        <v>0</v>
      </c>
      <c r="J299" s="63"/>
      <c r="K299" s="63"/>
      <c r="M299" s="64">
        <f>M296-M298</f>
        <v>0</v>
      </c>
      <c r="N299" s="64"/>
      <c r="O299" s="64"/>
      <c r="P299" s="65"/>
      <c r="Q299" s="65"/>
      <c r="R299" s="65"/>
      <c r="S299" s="65"/>
      <c r="T299" s="65"/>
    </row>
    <row r="301" spans="2:28">
      <c r="G301" s="72">
        <f>$E$319*H318</f>
        <v>0</v>
      </c>
      <c r="H301" s="73"/>
      <c r="I301" s="72">
        <f t="shared" ref="I301" si="118">$E$319*J318</f>
        <v>0</v>
      </c>
      <c r="J301" s="73"/>
      <c r="K301" s="72">
        <f t="shared" ref="K301" si="119">$E$319*L318</f>
        <v>0</v>
      </c>
      <c r="L301" s="73"/>
      <c r="M301" s="72">
        <f t="shared" ref="M301" si="120">$E$319*N318</f>
        <v>0</v>
      </c>
      <c r="N301" s="73"/>
      <c r="O301" s="72">
        <f t="shared" ref="O301" si="121">$E$319*P318</f>
        <v>0</v>
      </c>
      <c r="P301" s="73"/>
      <c r="Q301" s="72">
        <f t="shared" ref="Q301" si="122">$E$319*R318</f>
        <v>0</v>
      </c>
      <c r="R301" s="73"/>
      <c r="S301" s="72">
        <f t="shared" ref="S301" si="123">$E$319*T318</f>
        <v>0</v>
      </c>
      <c r="T301" s="73"/>
      <c r="U301" s="72">
        <f t="shared" ref="U301" si="124">$E$319*V318</f>
        <v>0</v>
      </c>
      <c r="V301" s="73"/>
      <c r="W301" s="2"/>
    </row>
    <row r="302" spans="2:28" ht="15" customHeight="1">
      <c r="D302" s="86" t="s">
        <v>2</v>
      </c>
      <c r="E302" s="86" t="s">
        <v>3</v>
      </c>
      <c r="F302" s="87" t="s">
        <v>4</v>
      </c>
      <c r="G302" s="88" t="s">
        <v>5</v>
      </c>
      <c r="H302" s="88"/>
      <c r="I302" s="74" t="s">
        <v>6</v>
      </c>
      <c r="J302" s="74"/>
      <c r="K302" s="74" t="s">
        <v>7</v>
      </c>
      <c r="L302" s="74"/>
      <c r="M302" s="74" t="s">
        <v>8</v>
      </c>
      <c r="N302" s="74"/>
      <c r="O302" s="74" t="s">
        <v>9</v>
      </c>
      <c r="P302" s="74"/>
      <c r="Q302" s="74" t="s">
        <v>10</v>
      </c>
      <c r="R302" s="74"/>
      <c r="S302" s="75" t="s">
        <v>11</v>
      </c>
      <c r="T302" s="75"/>
      <c r="U302" s="75" t="s">
        <v>12</v>
      </c>
      <c r="V302" s="75"/>
      <c r="W302" s="55"/>
    </row>
    <row r="303" spans="2:28" ht="15" customHeight="1">
      <c r="D303" s="86"/>
      <c r="E303" s="86"/>
      <c r="F303" s="87"/>
      <c r="G303" s="76" t="s">
        <v>13</v>
      </c>
      <c r="H303" s="76" t="s">
        <v>14</v>
      </c>
      <c r="I303" s="70" t="s">
        <v>13</v>
      </c>
      <c r="J303" s="70" t="s">
        <v>14</v>
      </c>
      <c r="K303" s="76" t="s">
        <v>13</v>
      </c>
      <c r="L303" s="76" t="s">
        <v>14</v>
      </c>
      <c r="M303" s="70" t="s">
        <v>13</v>
      </c>
      <c r="N303" s="70" t="s">
        <v>14</v>
      </c>
      <c r="O303" s="76" t="s">
        <v>13</v>
      </c>
      <c r="P303" s="76" t="s">
        <v>14</v>
      </c>
      <c r="Q303" s="70" t="s">
        <v>13</v>
      </c>
      <c r="R303" s="70" t="s">
        <v>14</v>
      </c>
      <c r="S303" s="76" t="s">
        <v>13</v>
      </c>
      <c r="T303" s="76" t="s">
        <v>14</v>
      </c>
      <c r="U303" s="70" t="s">
        <v>13</v>
      </c>
      <c r="V303" s="70" t="s">
        <v>14</v>
      </c>
      <c r="W303" s="56"/>
    </row>
    <row r="304" spans="2:28" ht="58.5" customHeight="1">
      <c r="D304" s="86"/>
      <c r="E304" s="86"/>
      <c r="F304" s="87"/>
      <c r="G304" s="77"/>
      <c r="H304" s="77"/>
      <c r="I304" s="71"/>
      <c r="J304" s="71"/>
      <c r="K304" s="77"/>
      <c r="L304" s="77"/>
      <c r="M304" s="71"/>
      <c r="N304" s="71"/>
      <c r="O304" s="77"/>
      <c r="P304" s="77"/>
      <c r="Q304" s="71"/>
      <c r="R304" s="71"/>
      <c r="S304" s="77"/>
      <c r="T304" s="77"/>
      <c r="U304" s="71"/>
      <c r="V304" s="71"/>
      <c r="W304" s="56"/>
      <c r="Y304" s="3" t="s">
        <v>188</v>
      </c>
      <c r="Z304" s="3" t="s">
        <v>189</v>
      </c>
      <c r="AA304" s="3" t="s">
        <v>190</v>
      </c>
      <c r="AB304" s="3" t="s">
        <v>191</v>
      </c>
    </row>
    <row r="305" spans="2:28" ht="15" customHeight="1">
      <c r="B305" s="82" t="s">
        <v>210</v>
      </c>
      <c r="C305" s="5" t="s">
        <v>20</v>
      </c>
      <c r="D305" s="30">
        <v>0.01</v>
      </c>
      <c r="E305" s="7">
        <f>SUM(G305,I305,K305,M305,O305,Q305,S305,U305)</f>
        <v>0</v>
      </c>
      <c r="F305" s="8">
        <f>D305*E305</f>
        <v>0</v>
      </c>
      <c r="G305" s="9">
        <v>0</v>
      </c>
      <c r="H305" s="9">
        <f>G305*D305</f>
        <v>0</v>
      </c>
      <c r="I305" s="10">
        <v>0</v>
      </c>
      <c r="J305" s="10">
        <f>I305*D305</f>
        <v>0</v>
      </c>
      <c r="K305" s="9">
        <v>0</v>
      </c>
      <c r="L305" s="9">
        <f>K305*D305</f>
        <v>0</v>
      </c>
      <c r="M305" s="10">
        <v>0</v>
      </c>
      <c r="N305" s="10">
        <f>M305*D305</f>
        <v>0</v>
      </c>
      <c r="O305" s="9">
        <v>0</v>
      </c>
      <c r="P305" s="9">
        <f>O305*D305</f>
        <v>0</v>
      </c>
      <c r="Q305" s="10">
        <v>0</v>
      </c>
      <c r="R305" s="11">
        <f>Q305*D305</f>
        <v>0</v>
      </c>
      <c r="S305" s="9">
        <v>0</v>
      </c>
      <c r="T305" s="9">
        <f>S305*D305</f>
        <v>0</v>
      </c>
      <c r="U305" s="10">
        <v>0</v>
      </c>
      <c r="V305" s="12">
        <f>U305*D305</f>
        <v>0</v>
      </c>
      <c r="W305" s="40"/>
      <c r="Y305" s="22"/>
      <c r="Z305" s="22"/>
      <c r="AA305" s="23"/>
      <c r="AB305" s="23"/>
    </row>
    <row r="306" spans="2:28">
      <c r="B306" s="82"/>
      <c r="C306" s="5" t="s">
        <v>25</v>
      </c>
      <c r="D306" s="30">
        <v>0.01</v>
      </c>
      <c r="E306" s="7">
        <f t="shared" ref="E306:E317" si="125">SUM(G306,I306,K306,M306,O306,Q306,S306,U306)</f>
        <v>0</v>
      </c>
      <c r="F306" s="8">
        <f t="shared" ref="F306:F317" si="126">D306*E306</f>
        <v>0</v>
      </c>
      <c r="G306" s="9">
        <v>0</v>
      </c>
      <c r="H306" s="9">
        <f t="shared" ref="H306:H317" si="127">G306*D306</f>
        <v>0</v>
      </c>
      <c r="I306" s="10">
        <v>0</v>
      </c>
      <c r="J306" s="10">
        <f t="shared" ref="J306:J317" si="128">I306*D306</f>
        <v>0</v>
      </c>
      <c r="K306" s="9">
        <v>0</v>
      </c>
      <c r="L306" s="9">
        <f t="shared" ref="L306:L317" si="129">K306*D306</f>
        <v>0</v>
      </c>
      <c r="M306" s="10">
        <v>0</v>
      </c>
      <c r="N306" s="10">
        <f t="shared" ref="N306:N317" si="130">M306*D306</f>
        <v>0</v>
      </c>
      <c r="O306" s="9">
        <v>0</v>
      </c>
      <c r="P306" s="9">
        <f t="shared" ref="P306:P317" si="131">O306*D306</f>
        <v>0</v>
      </c>
      <c r="Q306" s="10">
        <v>0</v>
      </c>
      <c r="R306" s="11">
        <f t="shared" ref="R306:R317" si="132">Q306*D306</f>
        <v>0</v>
      </c>
      <c r="S306" s="9">
        <v>0</v>
      </c>
      <c r="T306" s="9">
        <f t="shared" ref="T306:T317" si="133">S306*D306</f>
        <v>0</v>
      </c>
      <c r="U306" s="10">
        <v>0</v>
      </c>
      <c r="V306" s="12">
        <f t="shared" ref="V306:V317" si="134">U306*D306</f>
        <v>0</v>
      </c>
      <c r="W306" s="40"/>
      <c r="Y306" s="22"/>
      <c r="Z306" s="22"/>
      <c r="AA306" s="22"/>
      <c r="AB306" s="22"/>
    </row>
    <row r="307" spans="2:28">
      <c r="B307" s="82"/>
      <c r="C307" s="5" t="s">
        <v>30</v>
      </c>
      <c r="D307" s="30">
        <v>0.01</v>
      </c>
      <c r="E307" s="7">
        <f t="shared" si="125"/>
        <v>0</v>
      </c>
      <c r="F307" s="8">
        <f t="shared" si="126"/>
        <v>0</v>
      </c>
      <c r="G307" s="9">
        <v>0</v>
      </c>
      <c r="H307" s="9">
        <f t="shared" si="127"/>
        <v>0</v>
      </c>
      <c r="I307" s="10">
        <v>0</v>
      </c>
      <c r="J307" s="10">
        <f t="shared" si="128"/>
        <v>0</v>
      </c>
      <c r="K307" s="9">
        <v>0</v>
      </c>
      <c r="L307" s="9">
        <f t="shared" si="129"/>
        <v>0</v>
      </c>
      <c r="M307" s="10">
        <v>0</v>
      </c>
      <c r="N307" s="10">
        <f t="shared" si="130"/>
        <v>0</v>
      </c>
      <c r="O307" s="9">
        <v>0</v>
      </c>
      <c r="P307" s="9">
        <f t="shared" si="131"/>
        <v>0</v>
      </c>
      <c r="Q307" s="10">
        <v>0</v>
      </c>
      <c r="R307" s="11">
        <f t="shared" si="132"/>
        <v>0</v>
      </c>
      <c r="S307" s="9">
        <v>0</v>
      </c>
      <c r="T307" s="9">
        <f t="shared" si="133"/>
        <v>0</v>
      </c>
      <c r="U307" s="10">
        <v>0</v>
      </c>
      <c r="V307" s="12">
        <f t="shared" si="134"/>
        <v>0</v>
      </c>
      <c r="W307" s="40"/>
      <c r="Y307" s="22"/>
      <c r="Z307" s="22"/>
      <c r="AA307" s="22"/>
      <c r="AB307" s="22"/>
    </row>
    <row r="308" spans="2:28">
      <c r="B308" s="82"/>
      <c r="C308" s="5" t="s">
        <v>32</v>
      </c>
      <c r="D308" s="30">
        <v>0.01</v>
      </c>
      <c r="E308" s="7">
        <f t="shared" si="125"/>
        <v>0</v>
      </c>
      <c r="F308" s="8">
        <f t="shared" si="126"/>
        <v>0</v>
      </c>
      <c r="G308" s="9">
        <v>0</v>
      </c>
      <c r="H308" s="9">
        <f t="shared" si="127"/>
        <v>0</v>
      </c>
      <c r="I308" s="10">
        <v>0</v>
      </c>
      <c r="J308" s="10">
        <f t="shared" si="128"/>
        <v>0</v>
      </c>
      <c r="K308" s="9">
        <v>0</v>
      </c>
      <c r="L308" s="9">
        <f t="shared" si="129"/>
        <v>0</v>
      </c>
      <c r="M308" s="10">
        <v>0</v>
      </c>
      <c r="N308" s="10">
        <f t="shared" si="130"/>
        <v>0</v>
      </c>
      <c r="O308" s="9">
        <v>0</v>
      </c>
      <c r="P308" s="9">
        <f t="shared" si="131"/>
        <v>0</v>
      </c>
      <c r="Q308" s="10">
        <v>0</v>
      </c>
      <c r="R308" s="11">
        <f t="shared" si="132"/>
        <v>0</v>
      </c>
      <c r="S308" s="9">
        <v>0</v>
      </c>
      <c r="T308" s="9">
        <f t="shared" si="133"/>
        <v>0</v>
      </c>
      <c r="U308" s="10">
        <v>0</v>
      </c>
      <c r="V308" s="12">
        <f t="shared" si="134"/>
        <v>0</v>
      </c>
      <c r="W308" s="40"/>
      <c r="Y308" s="22"/>
      <c r="Z308" s="22"/>
      <c r="AA308" s="22"/>
      <c r="AB308" s="22"/>
    </row>
    <row r="309" spans="2:28">
      <c r="B309" s="82"/>
      <c r="C309" s="29" t="s">
        <v>37</v>
      </c>
      <c r="D309" s="30">
        <v>0.01</v>
      </c>
      <c r="E309" s="7">
        <f t="shared" si="125"/>
        <v>0</v>
      </c>
      <c r="F309" s="8">
        <f t="shared" si="126"/>
        <v>0</v>
      </c>
      <c r="G309" s="9">
        <v>0</v>
      </c>
      <c r="H309" s="9">
        <f t="shared" si="127"/>
        <v>0</v>
      </c>
      <c r="I309" s="10">
        <v>0</v>
      </c>
      <c r="J309" s="10">
        <f t="shared" si="128"/>
        <v>0</v>
      </c>
      <c r="K309" s="9">
        <v>0</v>
      </c>
      <c r="L309" s="9">
        <f t="shared" si="129"/>
        <v>0</v>
      </c>
      <c r="M309" s="10">
        <v>0</v>
      </c>
      <c r="N309" s="10">
        <f t="shared" si="130"/>
        <v>0</v>
      </c>
      <c r="O309" s="9">
        <v>0</v>
      </c>
      <c r="P309" s="9">
        <f t="shared" si="131"/>
        <v>0</v>
      </c>
      <c r="Q309" s="10">
        <v>0</v>
      </c>
      <c r="R309" s="11">
        <f t="shared" si="132"/>
        <v>0</v>
      </c>
      <c r="S309" s="9">
        <v>0</v>
      </c>
      <c r="T309" s="9">
        <f t="shared" si="133"/>
        <v>0</v>
      </c>
      <c r="U309" s="10">
        <v>0</v>
      </c>
      <c r="V309" s="12">
        <f t="shared" si="134"/>
        <v>0</v>
      </c>
      <c r="W309" s="40"/>
      <c r="Y309" s="22"/>
      <c r="Z309" s="22"/>
      <c r="AA309" s="22"/>
      <c r="AB309" s="22"/>
    </row>
    <row r="310" spans="2:28">
      <c r="B310" s="82"/>
      <c r="C310" s="5" t="s">
        <v>41</v>
      </c>
      <c r="D310" s="30">
        <v>0.01</v>
      </c>
      <c r="E310" s="7">
        <f t="shared" si="125"/>
        <v>0</v>
      </c>
      <c r="F310" s="8">
        <f t="shared" si="126"/>
        <v>0</v>
      </c>
      <c r="G310" s="9">
        <v>0</v>
      </c>
      <c r="H310" s="9">
        <f t="shared" si="127"/>
        <v>0</v>
      </c>
      <c r="I310" s="10">
        <v>0</v>
      </c>
      <c r="J310" s="10">
        <f t="shared" si="128"/>
        <v>0</v>
      </c>
      <c r="K310" s="9">
        <v>0</v>
      </c>
      <c r="L310" s="9">
        <f t="shared" si="129"/>
        <v>0</v>
      </c>
      <c r="M310" s="10">
        <v>0</v>
      </c>
      <c r="N310" s="10">
        <f t="shared" si="130"/>
        <v>0</v>
      </c>
      <c r="O310" s="9">
        <v>0</v>
      </c>
      <c r="P310" s="9">
        <f t="shared" si="131"/>
        <v>0</v>
      </c>
      <c r="Q310" s="10">
        <v>0</v>
      </c>
      <c r="R310" s="11">
        <f t="shared" si="132"/>
        <v>0</v>
      </c>
      <c r="S310" s="9">
        <v>0</v>
      </c>
      <c r="T310" s="9">
        <f t="shared" si="133"/>
        <v>0</v>
      </c>
      <c r="U310" s="10">
        <v>0</v>
      </c>
      <c r="V310" s="12">
        <f t="shared" si="134"/>
        <v>0</v>
      </c>
      <c r="W310" s="40"/>
      <c r="Y310" s="22"/>
      <c r="Z310" s="22"/>
      <c r="AA310" s="22"/>
      <c r="AB310" s="22"/>
    </row>
    <row r="311" spans="2:28">
      <c r="B311" s="82"/>
      <c r="C311" s="5" t="s">
        <v>46</v>
      </c>
      <c r="D311" s="30">
        <v>0.01</v>
      </c>
      <c r="E311" s="7">
        <f t="shared" si="125"/>
        <v>0</v>
      </c>
      <c r="F311" s="8">
        <f t="shared" si="126"/>
        <v>0</v>
      </c>
      <c r="G311" s="9">
        <v>0</v>
      </c>
      <c r="H311" s="9">
        <f t="shared" si="127"/>
        <v>0</v>
      </c>
      <c r="I311" s="10">
        <v>0</v>
      </c>
      <c r="J311" s="10">
        <f t="shared" si="128"/>
        <v>0</v>
      </c>
      <c r="K311" s="9">
        <v>0</v>
      </c>
      <c r="L311" s="9">
        <f t="shared" si="129"/>
        <v>0</v>
      </c>
      <c r="M311" s="10">
        <v>0</v>
      </c>
      <c r="N311" s="10">
        <f t="shared" si="130"/>
        <v>0</v>
      </c>
      <c r="O311" s="9">
        <v>0</v>
      </c>
      <c r="P311" s="9">
        <f t="shared" si="131"/>
        <v>0</v>
      </c>
      <c r="Q311" s="10">
        <v>0</v>
      </c>
      <c r="R311" s="11">
        <f t="shared" si="132"/>
        <v>0</v>
      </c>
      <c r="S311" s="9">
        <v>0</v>
      </c>
      <c r="T311" s="9">
        <f t="shared" si="133"/>
        <v>0</v>
      </c>
      <c r="U311" s="10">
        <v>0</v>
      </c>
      <c r="V311" s="12">
        <f t="shared" si="134"/>
        <v>0</v>
      </c>
      <c r="W311" s="40"/>
      <c r="Y311" s="22"/>
      <c r="Z311" s="22"/>
      <c r="AA311" s="22"/>
      <c r="AB311" s="23"/>
    </row>
    <row r="312" spans="2:28">
      <c r="B312" s="82"/>
      <c r="C312" s="5" t="s">
        <v>51</v>
      </c>
      <c r="D312" s="30">
        <v>0.01</v>
      </c>
      <c r="E312" s="7">
        <f t="shared" si="125"/>
        <v>0</v>
      </c>
      <c r="F312" s="8">
        <f t="shared" si="126"/>
        <v>0</v>
      </c>
      <c r="G312" s="9">
        <v>0</v>
      </c>
      <c r="H312" s="9">
        <f t="shared" si="127"/>
        <v>0</v>
      </c>
      <c r="I312" s="10">
        <v>0</v>
      </c>
      <c r="J312" s="10">
        <f t="shared" si="128"/>
        <v>0</v>
      </c>
      <c r="K312" s="9">
        <v>0</v>
      </c>
      <c r="L312" s="9">
        <f t="shared" si="129"/>
        <v>0</v>
      </c>
      <c r="M312" s="10">
        <v>0</v>
      </c>
      <c r="N312" s="10">
        <f t="shared" si="130"/>
        <v>0</v>
      </c>
      <c r="O312" s="9">
        <v>0</v>
      </c>
      <c r="P312" s="9">
        <f t="shared" si="131"/>
        <v>0</v>
      </c>
      <c r="Q312" s="10">
        <v>0</v>
      </c>
      <c r="R312" s="11">
        <f t="shared" si="132"/>
        <v>0</v>
      </c>
      <c r="S312" s="9">
        <v>0</v>
      </c>
      <c r="T312" s="9">
        <f t="shared" si="133"/>
        <v>0</v>
      </c>
      <c r="U312" s="10">
        <v>0</v>
      </c>
      <c r="V312" s="12">
        <f t="shared" si="134"/>
        <v>0</v>
      </c>
      <c r="W312" s="40"/>
      <c r="Y312" s="22"/>
      <c r="Z312" s="22"/>
      <c r="AA312" s="22"/>
      <c r="AB312" s="22"/>
    </row>
    <row r="313" spans="2:28">
      <c r="B313" s="82"/>
      <c r="C313" s="5" t="s">
        <v>55</v>
      </c>
      <c r="D313" s="30">
        <v>0</v>
      </c>
      <c r="E313" s="7">
        <f t="shared" si="125"/>
        <v>0</v>
      </c>
      <c r="F313" s="8">
        <f t="shared" si="126"/>
        <v>0</v>
      </c>
      <c r="G313" s="9">
        <v>0</v>
      </c>
      <c r="H313" s="9">
        <f t="shared" si="127"/>
        <v>0</v>
      </c>
      <c r="I313" s="10">
        <v>0</v>
      </c>
      <c r="J313" s="10">
        <f t="shared" si="128"/>
        <v>0</v>
      </c>
      <c r="K313" s="9">
        <v>0</v>
      </c>
      <c r="L313" s="9">
        <f t="shared" si="129"/>
        <v>0</v>
      </c>
      <c r="M313" s="10">
        <v>0</v>
      </c>
      <c r="N313" s="10">
        <f t="shared" si="130"/>
        <v>0</v>
      </c>
      <c r="O313" s="9">
        <v>0</v>
      </c>
      <c r="P313" s="9">
        <f t="shared" si="131"/>
        <v>0</v>
      </c>
      <c r="Q313" s="10">
        <v>0</v>
      </c>
      <c r="R313" s="11">
        <f t="shared" si="132"/>
        <v>0</v>
      </c>
      <c r="S313" s="9">
        <v>0</v>
      </c>
      <c r="T313" s="9">
        <f t="shared" si="133"/>
        <v>0</v>
      </c>
      <c r="U313" s="10">
        <v>0</v>
      </c>
      <c r="V313" s="12">
        <f t="shared" si="134"/>
        <v>0</v>
      </c>
      <c r="W313" s="40"/>
      <c r="Y313" s="22"/>
      <c r="Z313" s="22"/>
      <c r="AA313" s="23"/>
      <c r="AB313" s="23"/>
    </row>
    <row r="314" spans="2:28">
      <c r="B314" s="82"/>
      <c r="C314" s="5" t="s">
        <v>55</v>
      </c>
      <c r="D314" s="30">
        <v>0</v>
      </c>
      <c r="E314" s="7">
        <f t="shared" si="125"/>
        <v>0</v>
      </c>
      <c r="F314" s="8">
        <f t="shared" si="126"/>
        <v>0</v>
      </c>
      <c r="G314" s="9">
        <v>0</v>
      </c>
      <c r="H314" s="9">
        <f t="shared" si="127"/>
        <v>0</v>
      </c>
      <c r="I314" s="10">
        <v>0</v>
      </c>
      <c r="J314" s="10">
        <f t="shared" si="128"/>
        <v>0</v>
      </c>
      <c r="K314" s="9">
        <v>0</v>
      </c>
      <c r="L314" s="9">
        <f t="shared" si="129"/>
        <v>0</v>
      </c>
      <c r="M314" s="10">
        <v>0</v>
      </c>
      <c r="N314" s="10">
        <f t="shared" si="130"/>
        <v>0</v>
      </c>
      <c r="O314" s="9">
        <v>0</v>
      </c>
      <c r="P314" s="9">
        <f t="shared" si="131"/>
        <v>0</v>
      </c>
      <c r="Q314" s="10">
        <v>0</v>
      </c>
      <c r="R314" s="11">
        <f t="shared" si="132"/>
        <v>0</v>
      </c>
      <c r="S314" s="9">
        <v>0</v>
      </c>
      <c r="T314" s="9">
        <f t="shared" si="133"/>
        <v>0</v>
      </c>
      <c r="U314" s="10">
        <v>0</v>
      </c>
      <c r="V314" s="12">
        <f t="shared" si="134"/>
        <v>0</v>
      </c>
      <c r="W314" s="40"/>
      <c r="Y314" s="22"/>
      <c r="Z314" s="22"/>
      <c r="AA314" s="22"/>
      <c r="AB314" s="22"/>
    </row>
    <row r="315" spans="2:28">
      <c r="B315" s="82"/>
      <c r="C315" s="5" t="s">
        <v>55</v>
      </c>
      <c r="D315" s="30">
        <v>0</v>
      </c>
      <c r="E315" s="7">
        <f t="shared" si="125"/>
        <v>0</v>
      </c>
      <c r="F315" s="8">
        <f t="shared" si="126"/>
        <v>0</v>
      </c>
      <c r="G315" s="9">
        <v>0</v>
      </c>
      <c r="H315" s="9">
        <f t="shared" si="127"/>
        <v>0</v>
      </c>
      <c r="I315" s="10">
        <v>0</v>
      </c>
      <c r="J315" s="10">
        <f t="shared" si="128"/>
        <v>0</v>
      </c>
      <c r="K315" s="9">
        <v>0</v>
      </c>
      <c r="L315" s="9">
        <f t="shared" si="129"/>
        <v>0</v>
      </c>
      <c r="M315" s="10">
        <v>0</v>
      </c>
      <c r="N315" s="10">
        <f t="shared" si="130"/>
        <v>0</v>
      </c>
      <c r="O315" s="9">
        <v>0</v>
      </c>
      <c r="P315" s="9">
        <f t="shared" si="131"/>
        <v>0</v>
      </c>
      <c r="Q315" s="10">
        <v>0</v>
      </c>
      <c r="R315" s="11">
        <f t="shared" si="132"/>
        <v>0</v>
      </c>
      <c r="S315" s="9">
        <v>0</v>
      </c>
      <c r="T315" s="9">
        <f t="shared" si="133"/>
        <v>0</v>
      </c>
      <c r="U315" s="10">
        <v>0</v>
      </c>
      <c r="V315" s="12">
        <f t="shared" si="134"/>
        <v>0</v>
      </c>
      <c r="W315" s="40"/>
      <c r="Y315" s="22"/>
      <c r="Z315" s="23"/>
      <c r="AA315" s="23"/>
      <c r="AB315" s="23"/>
    </row>
    <row r="316" spans="2:28">
      <c r="B316" s="82"/>
      <c r="C316" s="5" t="s">
        <v>55</v>
      </c>
      <c r="D316" s="30">
        <v>0</v>
      </c>
      <c r="E316" s="7">
        <f t="shared" si="125"/>
        <v>0</v>
      </c>
      <c r="F316" s="8">
        <f t="shared" si="126"/>
        <v>0</v>
      </c>
      <c r="G316" s="9">
        <v>0</v>
      </c>
      <c r="H316" s="9">
        <f t="shared" si="127"/>
        <v>0</v>
      </c>
      <c r="I316" s="10">
        <v>0</v>
      </c>
      <c r="J316" s="10">
        <f t="shared" si="128"/>
        <v>0</v>
      </c>
      <c r="K316" s="9">
        <v>0</v>
      </c>
      <c r="L316" s="9">
        <f t="shared" si="129"/>
        <v>0</v>
      </c>
      <c r="M316" s="10">
        <v>0</v>
      </c>
      <c r="N316" s="10">
        <f t="shared" si="130"/>
        <v>0</v>
      </c>
      <c r="O316" s="9">
        <v>0</v>
      </c>
      <c r="P316" s="9">
        <f t="shared" si="131"/>
        <v>0</v>
      </c>
      <c r="Q316" s="10">
        <v>0</v>
      </c>
      <c r="R316" s="11">
        <f t="shared" si="132"/>
        <v>0</v>
      </c>
      <c r="S316" s="9">
        <v>0</v>
      </c>
      <c r="T316" s="9">
        <f t="shared" si="133"/>
        <v>0</v>
      </c>
      <c r="U316" s="10">
        <v>0</v>
      </c>
      <c r="V316" s="12">
        <f t="shared" si="134"/>
        <v>0</v>
      </c>
      <c r="W316" s="40"/>
      <c r="Y316" s="22"/>
      <c r="Z316" s="23"/>
      <c r="AA316" s="23"/>
      <c r="AB316" s="23"/>
    </row>
    <row r="317" spans="2:28">
      <c r="B317" s="82"/>
      <c r="C317" s="5" t="s">
        <v>55</v>
      </c>
      <c r="D317" s="30">
        <v>0</v>
      </c>
      <c r="E317" s="7">
        <f t="shared" si="125"/>
        <v>0</v>
      </c>
      <c r="F317" s="8">
        <f t="shared" si="126"/>
        <v>0</v>
      </c>
      <c r="G317" s="9">
        <v>0</v>
      </c>
      <c r="H317" s="9">
        <f t="shared" si="127"/>
        <v>0</v>
      </c>
      <c r="I317" s="10">
        <v>0</v>
      </c>
      <c r="J317" s="10">
        <f t="shared" si="128"/>
        <v>0</v>
      </c>
      <c r="K317" s="9">
        <v>0</v>
      </c>
      <c r="L317" s="9">
        <f t="shared" si="129"/>
        <v>0</v>
      </c>
      <c r="M317" s="10">
        <v>0</v>
      </c>
      <c r="N317" s="10">
        <f t="shared" si="130"/>
        <v>0</v>
      </c>
      <c r="O317" s="9">
        <v>0</v>
      </c>
      <c r="P317" s="9">
        <f t="shared" si="131"/>
        <v>0</v>
      </c>
      <c r="Q317" s="10">
        <v>0</v>
      </c>
      <c r="R317" s="11">
        <f t="shared" si="132"/>
        <v>0</v>
      </c>
      <c r="S317" s="9">
        <v>0</v>
      </c>
      <c r="T317" s="9">
        <f t="shared" si="133"/>
        <v>0</v>
      </c>
      <c r="U317" s="10">
        <v>0</v>
      </c>
      <c r="V317" s="12">
        <f t="shared" si="134"/>
        <v>0</v>
      </c>
      <c r="W317" s="40"/>
      <c r="Y317" s="22"/>
      <c r="Z317" s="23"/>
      <c r="AA317" s="23"/>
      <c r="AB317" s="23"/>
    </row>
    <row r="318" spans="2:28">
      <c r="G318" s="14"/>
      <c r="H318" s="15">
        <f>SUM(H305:H317)</f>
        <v>0</v>
      </c>
      <c r="I318" s="15"/>
      <c r="J318" s="15">
        <f>SUM(J305:J317)</f>
        <v>0</v>
      </c>
      <c r="K318" s="15"/>
      <c r="L318" s="15">
        <f>SUM(L305:L317)</f>
        <v>0</v>
      </c>
      <c r="M318" s="15"/>
      <c r="N318" s="15">
        <f>SUM(N305:N317)</f>
        <v>0</v>
      </c>
      <c r="O318" s="15"/>
      <c r="P318" s="15">
        <f>SUM(P305:P317)</f>
        <v>0</v>
      </c>
      <c r="Q318" s="15"/>
      <c r="R318" s="15">
        <f>SUM(R305:R317)</f>
        <v>0</v>
      </c>
      <c r="S318" s="15"/>
      <c r="T318" s="15">
        <f>SUM(T305:T317)</f>
        <v>0</v>
      </c>
      <c r="U318" s="15"/>
      <c r="V318" s="15">
        <f>SUM(V305:V317)</f>
        <v>0</v>
      </c>
      <c r="W318" s="15"/>
      <c r="Y318" s="13"/>
    </row>
    <row r="319" spans="2:28">
      <c r="B319" s="78" t="s">
        <v>211</v>
      </c>
      <c r="C319" s="78"/>
      <c r="D319" s="78"/>
      <c r="E319" s="83"/>
      <c r="F319" s="83"/>
      <c r="G319" s="83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Y319" s="13"/>
    </row>
    <row r="320" spans="2:28">
      <c r="B320" s="16"/>
      <c r="C320" s="16"/>
      <c r="D320" s="16"/>
      <c r="G320" s="14"/>
      <c r="H320" s="14"/>
      <c r="I320" s="14"/>
      <c r="J320" s="14"/>
      <c r="K320" s="84" t="s">
        <v>57</v>
      </c>
      <c r="L320" s="84"/>
      <c r="M320" s="84"/>
      <c r="N320" s="17">
        <v>1475</v>
      </c>
      <c r="O320" s="85" t="s">
        <v>212</v>
      </c>
      <c r="P320" s="85"/>
      <c r="Q320" s="14"/>
      <c r="R320" s="14"/>
      <c r="S320" s="14"/>
      <c r="T320" s="14"/>
      <c r="U320" s="14"/>
      <c r="V320" s="14"/>
      <c r="W320" s="14"/>
      <c r="Y320" s="18"/>
    </row>
    <row r="321" spans="2:28">
      <c r="B321" s="19" t="s">
        <v>58</v>
      </c>
      <c r="C321" s="19"/>
      <c r="F321" s="67">
        <f>SUM(E305:E317)/10</f>
        <v>0</v>
      </c>
      <c r="G321" s="67"/>
      <c r="H321" s="20"/>
      <c r="I321" s="20"/>
      <c r="Y321" s="21"/>
    </row>
    <row r="322" spans="2:28">
      <c r="B322" s="19" t="s">
        <v>59</v>
      </c>
      <c r="F322" s="67">
        <f>SUM(F305:F317)</f>
        <v>0</v>
      </c>
      <c r="G322" s="67"/>
      <c r="I322" s="68">
        <f>E319*F322</f>
        <v>0</v>
      </c>
      <c r="J322" s="68"/>
      <c r="K322" s="68"/>
      <c r="M322" s="69">
        <f>I322/N320</f>
        <v>0</v>
      </c>
      <c r="N322" s="69"/>
      <c r="O322" s="69"/>
    </row>
    <row r="323" spans="2:28" ht="14.45" customHeight="1"/>
    <row r="324" spans="2:28">
      <c r="B324" s="78" t="s">
        <v>60</v>
      </c>
      <c r="C324" s="78"/>
      <c r="D324" s="78"/>
      <c r="F324" s="79">
        <f>1-F321</f>
        <v>1</v>
      </c>
      <c r="G324" s="79"/>
    </row>
    <row r="325" spans="2:28">
      <c r="B325" s="78" t="s">
        <v>61</v>
      </c>
      <c r="C325" s="78"/>
      <c r="D325" s="78"/>
      <c r="F325" s="79">
        <f>1-F322</f>
        <v>1</v>
      </c>
      <c r="G325" s="79"/>
      <c r="I325" s="80">
        <f>E319*F325</f>
        <v>0</v>
      </c>
      <c r="J325" s="80"/>
      <c r="K325" s="80"/>
      <c r="M325" s="81">
        <f>I325/N320</f>
        <v>0</v>
      </c>
      <c r="N325" s="81"/>
      <c r="O325" s="81"/>
    </row>
    <row r="326" spans="2:28" ht="14.45" customHeight="1"/>
    <row r="327" spans="2:28" ht="15" customHeight="1">
      <c r="B327" s="16" t="s">
        <v>62</v>
      </c>
      <c r="C327" s="16"/>
      <c r="D327" s="16"/>
      <c r="F327" s="62">
        <f>1-(F307+F308+F310+F311+F312+F313+F314+F315+F316)</f>
        <v>1</v>
      </c>
      <c r="G327" s="62"/>
      <c r="I327" s="63">
        <f>I325*F327</f>
        <v>0</v>
      </c>
      <c r="J327" s="63"/>
      <c r="K327" s="63"/>
      <c r="M327" s="64">
        <f>M325*F327</f>
        <v>0</v>
      </c>
      <c r="N327" s="64"/>
      <c r="O327" s="64"/>
      <c r="P327" s="65" t="s">
        <v>63</v>
      </c>
      <c r="Q327" s="65"/>
      <c r="R327" s="65"/>
      <c r="S327" s="65"/>
      <c r="T327" s="65"/>
    </row>
    <row r="328" spans="2:28">
      <c r="B328" s="16" t="s">
        <v>64</v>
      </c>
      <c r="F328" s="66"/>
      <c r="G328" s="66"/>
      <c r="I328" s="63">
        <f>I325-I327</f>
        <v>0</v>
      </c>
      <c r="J328" s="63"/>
      <c r="K328" s="63"/>
      <c r="M328" s="64">
        <f>M325-M327</f>
        <v>0</v>
      </c>
      <c r="N328" s="64"/>
      <c r="O328" s="64"/>
      <c r="P328" s="65"/>
      <c r="Q328" s="65"/>
      <c r="R328" s="65"/>
      <c r="S328" s="65"/>
      <c r="T328" s="65"/>
    </row>
    <row r="330" spans="2:28">
      <c r="G330" s="72">
        <f>$E$348*H347</f>
        <v>0</v>
      </c>
      <c r="H330" s="73"/>
      <c r="I330" s="72">
        <f t="shared" ref="I330" si="135">$E$348*J347</f>
        <v>0</v>
      </c>
      <c r="J330" s="73"/>
      <c r="K330" s="72">
        <f t="shared" ref="K330" si="136">$E$348*L347</f>
        <v>0</v>
      </c>
      <c r="L330" s="73"/>
      <c r="M330" s="72">
        <f t="shared" ref="M330" si="137">$E$348*N347</f>
        <v>0</v>
      </c>
      <c r="N330" s="73"/>
      <c r="O330" s="72">
        <f t="shared" ref="O330" si="138">$E$348*P347</f>
        <v>0</v>
      </c>
      <c r="P330" s="73"/>
      <c r="Q330" s="72">
        <f t="shared" ref="Q330" si="139">$E$348*R347</f>
        <v>0</v>
      </c>
      <c r="R330" s="73"/>
      <c r="S330" s="72">
        <f t="shared" ref="S330" si="140">$E$348*T347</f>
        <v>0</v>
      </c>
      <c r="T330" s="73"/>
      <c r="U330" s="72">
        <f t="shared" ref="U330" si="141">$E$348*V347</f>
        <v>0</v>
      </c>
      <c r="V330" s="73"/>
      <c r="W330" s="2"/>
    </row>
    <row r="331" spans="2:28" ht="15" customHeight="1">
      <c r="D331" s="86" t="s">
        <v>2</v>
      </c>
      <c r="E331" s="86" t="s">
        <v>3</v>
      </c>
      <c r="F331" s="87" t="s">
        <v>4</v>
      </c>
      <c r="G331" s="88" t="s">
        <v>5</v>
      </c>
      <c r="H331" s="88"/>
      <c r="I331" s="74" t="s">
        <v>6</v>
      </c>
      <c r="J331" s="74"/>
      <c r="K331" s="74" t="s">
        <v>7</v>
      </c>
      <c r="L331" s="74"/>
      <c r="M331" s="74" t="s">
        <v>8</v>
      </c>
      <c r="N331" s="74"/>
      <c r="O331" s="74" t="s">
        <v>9</v>
      </c>
      <c r="P331" s="74"/>
      <c r="Q331" s="74" t="s">
        <v>10</v>
      </c>
      <c r="R331" s="74"/>
      <c r="S331" s="75" t="s">
        <v>11</v>
      </c>
      <c r="T331" s="75"/>
      <c r="U331" s="75" t="s">
        <v>12</v>
      </c>
      <c r="V331" s="75"/>
      <c r="W331" s="55"/>
    </row>
    <row r="332" spans="2:28" ht="15" customHeight="1">
      <c r="D332" s="86"/>
      <c r="E332" s="86"/>
      <c r="F332" s="87"/>
      <c r="G332" s="76" t="s">
        <v>13</v>
      </c>
      <c r="H332" s="76" t="s">
        <v>14</v>
      </c>
      <c r="I332" s="70" t="s">
        <v>13</v>
      </c>
      <c r="J332" s="70" t="s">
        <v>14</v>
      </c>
      <c r="K332" s="76" t="s">
        <v>13</v>
      </c>
      <c r="L332" s="76" t="s">
        <v>14</v>
      </c>
      <c r="M332" s="70" t="s">
        <v>13</v>
      </c>
      <c r="N332" s="70" t="s">
        <v>14</v>
      </c>
      <c r="O332" s="76" t="s">
        <v>13</v>
      </c>
      <c r="P332" s="76" t="s">
        <v>14</v>
      </c>
      <c r="Q332" s="70" t="s">
        <v>13</v>
      </c>
      <c r="R332" s="70" t="s">
        <v>14</v>
      </c>
      <c r="S332" s="76" t="s">
        <v>13</v>
      </c>
      <c r="T332" s="76" t="s">
        <v>14</v>
      </c>
      <c r="U332" s="70" t="s">
        <v>13</v>
      </c>
      <c r="V332" s="70" t="s">
        <v>14</v>
      </c>
      <c r="W332" s="56"/>
    </row>
    <row r="333" spans="2:28" ht="51" customHeight="1">
      <c r="D333" s="86"/>
      <c r="E333" s="86"/>
      <c r="F333" s="87"/>
      <c r="G333" s="77"/>
      <c r="H333" s="77"/>
      <c r="I333" s="71"/>
      <c r="J333" s="71"/>
      <c r="K333" s="77"/>
      <c r="L333" s="77"/>
      <c r="M333" s="71"/>
      <c r="N333" s="71"/>
      <c r="O333" s="77"/>
      <c r="P333" s="77"/>
      <c r="Q333" s="71"/>
      <c r="R333" s="71"/>
      <c r="S333" s="77"/>
      <c r="T333" s="77"/>
      <c r="U333" s="71"/>
      <c r="V333" s="71"/>
      <c r="W333" s="56"/>
      <c r="Y333" s="3" t="s">
        <v>188</v>
      </c>
      <c r="Z333" s="3" t="s">
        <v>189</v>
      </c>
      <c r="AA333" s="3" t="s">
        <v>190</v>
      </c>
      <c r="AB333" s="3" t="s">
        <v>191</v>
      </c>
    </row>
    <row r="334" spans="2:28" ht="15" customHeight="1">
      <c r="B334" s="82" t="s">
        <v>213</v>
      </c>
      <c r="C334" s="5" t="s">
        <v>20</v>
      </c>
      <c r="D334" s="30">
        <v>0.01</v>
      </c>
      <c r="E334" s="7">
        <f>SUM(G334,I334,K334,M334,O334,Q334,S334,U334)</f>
        <v>0</v>
      </c>
      <c r="F334" s="8">
        <f>D334*E334</f>
        <v>0</v>
      </c>
      <c r="G334" s="9">
        <v>0</v>
      </c>
      <c r="H334" s="9">
        <f>G334*D334</f>
        <v>0</v>
      </c>
      <c r="I334" s="10">
        <v>0</v>
      </c>
      <c r="J334" s="10">
        <f>I334*D334</f>
        <v>0</v>
      </c>
      <c r="K334" s="9">
        <v>0</v>
      </c>
      <c r="L334" s="9">
        <f>K334*D334</f>
        <v>0</v>
      </c>
      <c r="M334" s="10">
        <v>0</v>
      </c>
      <c r="N334" s="10">
        <f>M334*D334</f>
        <v>0</v>
      </c>
      <c r="O334" s="9">
        <v>0</v>
      </c>
      <c r="P334" s="9">
        <f>O334*D334</f>
        <v>0</v>
      </c>
      <c r="Q334" s="10">
        <v>0</v>
      </c>
      <c r="R334" s="11">
        <f>Q334*D334</f>
        <v>0</v>
      </c>
      <c r="S334" s="9">
        <v>0</v>
      </c>
      <c r="T334" s="9">
        <f>S334*D334</f>
        <v>0</v>
      </c>
      <c r="U334" s="10">
        <v>0</v>
      </c>
      <c r="V334" s="12">
        <f>U334*D334</f>
        <v>0</v>
      </c>
      <c r="W334" s="40"/>
      <c r="Y334" s="22"/>
      <c r="Z334" s="22"/>
      <c r="AA334" s="23"/>
      <c r="AB334" s="23"/>
    </row>
    <row r="335" spans="2:28">
      <c r="B335" s="82"/>
      <c r="C335" s="5" t="s">
        <v>25</v>
      </c>
      <c r="D335" s="30">
        <v>0.01</v>
      </c>
      <c r="E335" s="7">
        <f t="shared" ref="E335:E346" si="142">SUM(G335,I335,K335,M335,O335,Q335,S335,U335)</f>
        <v>0</v>
      </c>
      <c r="F335" s="8">
        <f t="shared" ref="F335:F346" si="143">D335*E335</f>
        <v>0</v>
      </c>
      <c r="G335" s="9">
        <v>0</v>
      </c>
      <c r="H335" s="9">
        <f t="shared" ref="H335:H346" si="144">G335*D335</f>
        <v>0</v>
      </c>
      <c r="I335" s="10">
        <v>0</v>
      </c>
      <c r="J335" s="10">
        <f t="shared" ref="J335:J346" si="145">I335*D335</f>
        <v>0</v>
      </c>
      <c r="K335" s="9">
        <v>0</v>
      </c>
      <c r="L335" s="9">
        <f t="shared" ref="L335:L346" si="146">K335*D335</f>
        <v>0</v>
      </c>
      <c r="M335" s="10">
        <v>0</v>
      </c>
      <c r="N335" s="10">
        <f t="shared" ref="N335:N346" si="147">M335*D335</f>
        <v>0</v>
      </c>
      <c r="O335" s="9">
        <v>0</v>
      </c>
      <c r="P335" s="9">
        <f t="shared" ref="P335:P346" si="148">O335*D335</f>
        <v>0</v>
      </c>
      <c r="Q335" s="10">
        <v>0</v>
      </c>
      <c r="R335" s="11">
        <f t="shared" ref="R335:R346" si="149">Q335*D335</f>
        <v>0</v>
      </c>
      <c r="S335" s="9">
        <v>0</v>
      </c>
      <c r="T335" s="9">
        <f t="shared" ref="T335:T346" si="150">S335*D335</f>
        <v>0</v>
      </c>
      <c r="U335" s="10">
        <v>0</v>
      </c>
      <c r="V335" s="12">
        <f t="shared" ref="V335:V346" si="151">U335*D335</f>
        <v>0</v>
      </c>
      <c r="W335" s="40"/>
      <c r="Y335" s="22"/>
      <c r="Z335" s="22"/>
      <c r="AA335" s="23"/>
      <c r="AB335" s="22"/>
    </row>
    <row r="336" spans="2:28">
      <c r="B336" s="82"/>
      <c r="C336" s="5" t="s">
        <v>30</v>
      </c>
      <c r="D336" s="30">
        <v>0.01</v>
      </c>
      <c r="E336" s="7">
        <f t="shared" si="142"/>
        <v>0</v>
      </c>
      <c r="F336" s="8">
        <f t="shared" si="143"/>
        <v>0</v>
      </c>
      <c r="G336" s="9">
        <v>0</v>
      </c>
      <c r="H336" s="9">
        <f t="shared" si="144"/>
        <v>0</v>
      </c>
      <c r="I336" s="10">
        <v>0</v>
      </c>
      <c r="J336" s="10">
        <f t="shared" si="145"/>
        <v>0</v>
      </c>
      <c r="K336" s="9">
        <v>0</v>
      </c>
      <c r="L336" s="9">
        <f t="shared" si="146"/>
        <v>0</v>
      </c>
      <c r="M336" s="10">
        <v>0</v>
      </c>
      <c r="N336" s="10">
        <f t="shared" si="147"/>
        <v>0</v>
      </c>
      <c r="O336" s="9">
        <v>0</v>
      </c>
      <c r="P336" s="9">
        <f t="shared" si="148"/>
        <v>0</v>
      </c>
      <c r="Q336" s="10">
        <v>0</v>
      </c>
      <c r="R336" s="11">
        <f t="shared" si="149"/>
        <v>0</v>
      </c>
      <c r="S336" s="9">
        <v>0</v>
      </c>
      <c r="T336" s="9">
        <f t="shared" si="150"/>
        <v>0</v>
      </c>
      <c r="U336" s="10">
        <v>0</v>
      </c>
      <c r="V336" s="12">
        <f t="shared" si="151"/>
        <v>0</v>
      </c>
      <c r="W336" s="40"/>
      <c r="Y336" s="22"/>
      <c r="Z336" s="22"/>
      <c r="AA336" s="22"/>
      <c r="AB336" s="22"/>
    </row>
    <row r="337" spans="2:28">
      <c r="B337" s="82"/>
      <c r="C337" s="5" t="s">
        <v>32</v>
      </c>
      <c r="D337" s="30">
        <v>0.01</v>
      </c>
      <c r="E337" s="7">
        <f t="shared" si="142"/>
        <v>0</v>
      </c>
      <c r="F337" s="8">
        <f t="shared" si="143"/>
        <v>0</v>
      </c>
      <c r="G337" s="9">
        <v>0</v>
      </c>
      <c r="H337" s="9">
        <f t="shared" si="144"/>
        <v>0</v>
      </c>
      <c r="I337" s="10">
        <v>0</v>
      </c>
      <c r="J337" s="10">
        <f t="shared" si="145"/>
        <v>0</v>
      </c>
      <c r="K337" s="9">
        <v>0</v>
      </c>
      <c r="L337" s="9">
        <f t="shared" si="146"/>
        <v>0</v>
      </c>
      <c r="M337" s="10">
        <v>0</v>
      </c>
      <c r="N337" s="10">
        <f t="shared" si="147"/>
        <v>0</v>
      </c>
      <c r="O337" s="9">
        <v>0</v>
      </c>
      <c r="P337" s="9">
        <f t="shared" si="148"/>
        <v>0</v>
      </c>
      <c r="Q337" s="10">
        <v>0</v>
      </c>
      <c r="R337" s="11">
        <f t="shared" si="149"/>
        <v>0</v>
      </c>
      <c r="S337" s="9">
        <v>0</v>
      </c>
      <c r="T337" s="9">
        <f t="shared" si="150"/>
        <v>0</v>
      </c>
      <c r="U337" s="10">
        <v>0</v>
      </c>
      <c r="V337" s="12">
        <f t="shared" si="151"/>
        <v>0</v>
      </c>
      <c r="W337" s="40"/>
      <c r="Y337" s="22"/>
      <c r="Z337" s="22"/>
      <c r="AA337" s="22"/>
      <c r="AB337" s="22"/>
    </row>
    <row r="338" spans="2:28">
      <c r="B338" s="82"/>
      <c r="C338" s="29" t="s">
        <v>37</v>
      </c>
      <c r="D338" s="30">
        <v>0.01</v>
      </c>
      <c r="E338" s="7">
        <f t="shared" si="142"/>
        <v>0</v>
      </c>
      <c r="F338" s="8">
        <f t="shared" si="143"/>
        <v>0</v>
      </c>
      <c r="G338" s="9">
        <v>0</v>
      </c>
      <c r="H338" s="9">
        <f t="shared" si="144"/>
        <v>0</v>
      </c>
      <c r="I338" s="10">
        <v>0</v>
      </c>
      <c r="J338" s="10">
        <f t="shared" si="145"/>
        <v>0</v>
      </c>
      <c r="K338" s="9">
        <v>0</v>
      </c>
      <c r="L338" s="9">
        <f t="shared" si="146"/>
        <v>0</v>
      </c>
      <c r="M338" s="10">
        <v>0</v>
      </c>
      <c r="N338" s="10">
        <f t="shared" si="147"/>
        <v>0</v>
      </c>
      <c r="O338" s="9">
        <v>0</v>
      </c>
      <c r="P338" s="9">
        <f t="shared" si="148"/>
        <v>0</v>
      </c>
      <c r="Q338" s="10">
        <v>0</v>
      </c>
      <c r="R338" s="11">
        <f t="shared" si="149"/>
        <v>0</v>
      </c>
      <c r="S338" s="9">
        <v>0</v>
      </c>
      <c r="T338" s="9">
        <f t="shared" si="150"/>
        <v>0</v>
      </c>
      <c r="U338" s="10">
        <v>0</v>
      </c>
      <c r="V338" s="12">
        <f t="shared" si="151"/>
        <v>0</v>
      </c>
      <c r="W338" s="40"/>
      <c r="Y338" s="22"/>
      <c r="Z338" s="22"/>
      <c r="AA338" s="22"/>
      <c r="AB338" s="22"/>
    </row>
    <row r="339" spans="2:28">
      <c r="B339" s="82"/>
      <c r="C339" s="5" t="s">
        <v>41</v>
      </c>
      <c r="D339" s="30">
        <v>0.01</v>
      </c>
      <c r="E339" s="7">
        <f t="shared" si="142"/>
        <v>0</v>
      </c>
      <c r="F339" s="8">
        <f t="shared" si="143"/>
        <v>0</v>
      </c>
      <c r="G339" s="9">
        <v>0</v>
      </c>
      <c r="H339" s="9">
        <f t="shared" si="144"/>
        <v>0</v>
      </c>
      <c r="I339" s="10">
        <v>0</v>
      </c>
      <c r="J339" s="10">
        <f t="shared" si="145"/>
        <v>0</v>
      </c>
      <c r="K339" s="9">
        <v>0</v>
      </c>
      <c r="L339" s="9">
        <f t="shared" si="146"/>
        <v>0</v>
      </c>
      <c r="M339" s="10">
        <v>0</v>
      </c>
      <c r="N339" s="10">
        <f t="shared" si="147"/>
        <v>0</v>
      </c>
      <c r="O339" s="9">
        <v>0</v>
      </c>
      <c r="P339" s="9">
        <f t="shared" si="148"/>
        <v>0</v>
      </c>
      <c r="Q339" s="10">
        <v>0</v>
      </c>
      <c r="R339" s="11">
        <f t="shared" si="149"/>
        <v>0</v>
      </c>
      <c r="S339" s="9">
        <v>0</v>
      </c>
      <c r="T339" s="9">
        <f t="shared" si="150"/>
        <v>0</v>
      </c>
      <c r="U339" s="10">
        <v>0</v>
      </c>
      <c r="V339" s="12">
        <f t="shared" si="151"/>
        <v>0</v>
      </c>
      <c r="W339" s="40"/>
      <c r="Y339" s="22"/>
      <c r="Z339" s="22"/>
      <c r="AA339" s="22"/>
      <c r="AB339" s="22"/>
    </row>
    <row r="340" spans="2:28">
      <c r="B340" s="82"/>
      <c r="C340" s="5" t="s">
        <v>46</v>
      </c>
      <c r="D340" s="30">
        <v>0.01</v>
      </c>
      <c r="E340" s="7">
        <f t="shared" si="142"/>
        <v>0</v>
      </c>
      <c r="F340" s="8">
        <f t="shared" si="143"/>
        <v>0</v>
      </c>
      <c r="G340" s="9">
        <v>0</v>
      </c>
      <c r="H340" s="9">
        <f t="shared" si="144"/>
        <v>0</v>
      </c>
      <c r="I340" s="10">
        <v>0</v>
      </c>
      <c r="J340" s="10">
        <f t="shared" si="145"/>
        <v>0</v>
      </c>
      <c r="K340" s="9">
        <v>0</v>
      </c>
      <c r="L340" s="9">
        <f t="shared" si="146"/>
        <v>0</v>
      </c>
      <c r="M340" s="10">
        <v>0</v>
      </c>
      <c r="N340" s="10">
        <f t="shared" si="147"/>
        <v>0</v>
      </c>
      <c r="O340" s="9">
        <v>0</v>
      </c>
      <c r="P340" s="9">
        <f t="shared" si="148"/>
        <v>0</v>
      </c>
      <c r="Q340" s="10">
        <v>0</v>
      </c>
      <c r="R340" s="11">
        <f t="shared" si="149"/>
        <v>0</v>
      </c>
      <c r="S340" s="9">
        <v>0</v>
      </c>
      <c r="T340" s="9">
        <f t="shared" si="150"/>
        <v>0</v>
      </c>
      <c r="U340" s="10">
        <v>0</v>
      </c>
      <c r="V340" s="12">
        <f t="shared" si="151"/>
        <v>0</v>
      </c>
      <c r="W340" s="40"/>
      <c r="Y340" s="22"/>
      <c r="Z340" s="22"/>
      <c r="AA340" s="28"/>
      <c r="AB340" s="23"/>
    </row>
    <row r="341" spans="2:28">
      <c r="B341" s="82"/>
      <c r="C341" s="5" t="s">
        <v>51</v>
      </c>
      <c r="D341" s="30">
        <v>0.01</v>
      </c>
      <c r="E341" s="7">
        <f t="shared" si="142"/>
        <v>0</v>
      </c>
      <c r="F341" s="8">
        <f t="shared" si="143"/>
        <v>0</v>
      </c>
      <c r="G341" s="9">
        <v>0</v>
      </c>
      <c r="H341" s="9">
        <f t="shared" si="144"/>
        <v>0</v>
      </c>
      <c r="I341" s="10">
        <v>0</v>
      </c>
      <c r="J341" s="10">
        <f t="shared" si="145"/>
        <v>0</v>
      </c>
      <c r="K341" s="9">
        <v>0</v>
      </c>
      <c r="L341" s="9">
        <f t="shared" si="146"/>
        <v>0</v>
      </c>
      <c r="M341" s="10">
        <v>0</v>
      </c>
      <c r="N341" s="10">
        <f t="shared" si="147"/>
        <v>0</v>
      </c>
      <c r="O341" s="9">
        <v>0</v>
      </c>
      <c r="P341" s="9">
        <f t="shared" si="148"/>
        <v>0</v>
      </c>
      <c r="Q341" s="10">
        <v>0</v>
      </c>
      <c r="R341" s="11">
        <f t="shared" si="149"/>
        <v>0</v>
      </c>
      <c r="S341" s="9">
        <v>0</v>
      </c>
      <c r="T341" s="9">
        <f t="shared" si="150"/>
        <v>0</v>
      </c>
      <c r="U341" s="10">
        <v>0</v>
      </c>
      <c r="V341" s="12">
        <f t="shared" si="151"/>
        <v>0</v>
      </c>
      <c r="W341" s="40"/>
      <c r="Y341" s="22"/>
      <c r="Z341" s="22"/>
      <c r="AA341" s="22"/>
      <c r="AB341" s="23"/>
    </row>
    <row r="342" spans="2:28">
      <c r="B342" s="82"/>
      <c r="C342" s="5" t="s">
        <v>55</v>
      </c>
      <c r="D342" s="30">
        <v>0</v>
      </c>
      <c r="E342" s="7">
        <f t="shared" si="142"/>
        <v>0</v>
      </c>
      <c r="F342" s="8">
        <f t="shared" si="143"/>
        <v>0</v>
      </c>
      <c r="G342" s="9">
        <v>0</v>
      </c>
      <c r="H342" s="9">
        <f t="shared" si="144"/>
        <v>0</v>
      </c>
      <c r="I342" s="10">
        <v>0</v>
      </c>
      <c r="J342" s="10">
        <f t="shared" si="145"/>
        <v>0</v>
      </c>
      <c r="K342" s="9">
        <v>0</v>
      </c>
      <c r="L342" s="9">
        <f t="shared" si="146"/>
        <v>0</v>
      </c>
      <c r="M342" s="10">
        <v>0</v>
      </c>
      <c r="N342" s="10">
        <f t="shared" si="147"/>
        <v>0</v>
      </c>
      <c r="O342" s="9">
        <v>0</v>
      </c>
      <c r="P342" s="9">
        <f t="shared" si="148"/>
        <v>0</v>
      </c>
      <c r="Q342" s="10">
        <v>0</v>
      </c>
      <c r="R342" s="11">
        <f t="shared" si="149"/>
        <v>0</v>
      </c>
      <c r="S342" s="9">
        <v>0</v>
      </c>
      <c r="T342" s="9">
        <f t="shared" si="150"/>
        <v>0</v>
      </c>
      <c r="U342" s="10">
        <v>0</v>
      </c>
      <c r="V342" s="12">
        <f t="shared" si="151"/>
        <v>0</v>
      </c>
      <c r="W342" s="40"/>
      <c r="Y342" s="22"/>
      <c r="Z342" s="22"/>
      <c r="AA342" s="23"/>
      <c r="AB342" s="23"/>
    </row>
    <row r="343" spans="2:28">
      <c r="B343" s="82"/>
      <c r="C343" s="5" t="s">
        <v>55</v>
      </c>
      <c r="D343" s="30">
        <v>0</v>
      </c>
      <c r="E343" s="7">
        <f t="shared" si="142"/>
        <v>0</v>
      </c>
      <c r="F343" s="8">
        <f t="shared" si="143"/>
        <v>0</v>
      </c>
      <c r="G343" s="9">
        <v>0</v>
      </c>
      <c r="H343" s="9">
        <f t="shared" si="144"/>
        <v>0</v>
      </c>
      <c r="I343" s="10">
        <v>0</v>
      </c>
      <c r="J343" s="10">
        <f t="shared" si="145"/>
        <v>0</v>
      </c>
      <c r="K343" s="9">
        <v>0</v>
      </c>
      <c r="L343" s="9">
        <f t="shared" si="146"/>
        <v>0</v>
      </c>
      <c r="M343" s="10">
        <v>0</v>
      </c>
      <c r="N343" s="10">
        <f t="shared" si="147"/>
        <v>0</v>
      </c>
      <c r="O343" s="9">
        <v>0</v>
      </c>
      <c r="P343" s="9">
        <f t="shared" si="148"/>
        <v>0</v>
      </c>
      <c r="Q343" s="10">
        <v>0</v>
      </c>
      <c r="R343" s="11">
        <f t="shared" si="149"/>
        <v>0</v>
      </c>
      <c r="S343" s="9">
        <v>0</v>
      </c>
      <c r="T343" s="9">
        <f t="shared" si="150"/>
        <v>0</v>
      </c>
      <c r="U343" s="10">
        <v>0</v>
      </c>
      <c r="V343" s="12">
        <f t="shared" si="151"/>
        <v>0</v>
      </c>
      <c r="W343" s="40"/>
      <c r="Y343" s="22"/>
      <c r="Z343" s="22"/>
      <c r="AA343" s="22"/>
      <c r="AB343" s="22"/>
    </row>
    <row r="344" spans="2:28">
      <c r="B344" s="82"/>
      <c r="C344" s="5" t="s">
        <v>55</v>
      </c>
      <c r="D344" s="30">
        <v>0</v>
      </c>
      <c r="E344" s="7">
        <f t="shared" si="142"/>
        <v>0</v>
      </c>
      <c r="F344" s="8">
        <f t="shared" si="143"/>
        <v>0</v>
      </c>
      <c r="G344" s="9">
        <v>0</v>
      </c>
      <c r="H344" s="9">
        <f t="shared" si="144"/>
        <v>0</v>
      </c>
      <c r="I344" s="10">
        <v>0</v>
      </c>
      <c r="J344" s="10">
        <f t="shared" si="145"/>
        <v>0</v>
      </c>
      <c r="K344" s="9">
        <v>0</v>
      </c>
      <c r="L344" s="9">
        <f t="shared" si="146"/>
        <v>0</v>
      </c>
      <c r="M344" s="10">
        <v>0</v>
      </c>
      <c r="N344" s="10">
        <f t="shared" si="147"/>
        <v>0</v>
      </c>
      <c r="O344" s="9">
        <v>0</v>
      </c>
      <c r="P344" s="9">
        <f t="shared" si="148"/>
        <v>0</v>
      </c>
      <c r="Q344" s="10">
        <v>0</v>
      </c>
      <c r="R344" s="11">
        <f t="shared" si="149"/>
        <v>0</v>
      </c>
      <c r="S344" s="9">
        <v>0</v>
      </c>
      <c r="T344" s="9">
        <f t="shared" si="150"/>
        <v>0</v>
      </c>
      <c r="U344" s="10">
        <v>0</v>
      </c>
      <c r="V344" s="12">
        <f t="shared" si="151"/>
        <v>0</v>
      </c>
      <c r="W344" s="40"/>
      <c r="Y344" s="22"/>
      <c r="Z344" s="23"/>
      <c r="AA344" s="23"/>
      <c r="AB344" s="23"/>
    </row>
    <row r="345" spans="2:28">
      <c r="B345" s="82"/>
      <c r="C345" s="5" t="s">
        <v>55</v>
      </c>
      <c r="D345" s="30">
        <v>0</v>
      </c>
      <c r="E345" s="7">
        <f t="shared" si="142"/>
        <v>0</v>
      </c>
      <c r="F345" s="8">
        <f t="shared" si="143"/>
        <v>0</v>
      </c>
      <c r="G345" s="9">
        <v>0</v>
      </c>
      <c r="H345" s="9">
        <f t="shared" si="144"/>
        <v>0</v>
      </c>
      <c r="I345" s="10">
        <v>0</v>
      </c>
      <c r="J345" s="10">
        <f t="shared" si="145"/>
        <v>0</v>
      </c>
      <c r="K345" s="9">
        <v>0</v>
      </c>
      <c r="L345" s="9">
        <f t="shared" si="146"/>
        <v>0</v>
      </c>
      <c r="M345" s="10">
        <v>0</v>
      </c>
      <c r="N345" s="10">
        <f t="shared" si="147"/>
        <v>0</v>
      </c>
      <c r="O345" s="9">
        <v>0</v>
      </c>
      <c r="P345" s="9">
        <f t="shared" si="148"/>
        <v>0</v>
      </c>
      <c r="Q345" s="10">
        <v>0</v>
      </c>
      <c r="R345" s="11">
        <f t="shared" si="149"/>
        <v>0</v>
      </c>
      <c r="S345" s="9">
        <v>0</v>
      </c>
      <c r="T345" s="9">
        <f t="shared" si="150"/>
        <v>0</v>
      </c>
      <c r="U345" s="10">
        <v>0</v>
      </c>
      <c r="V345" s="12">
        <f t="shared" si="151"/>
        <v>0</v>
      </c>
      <c r="W345" s="40"/>
      <c r="Y345" s="22"/>
      <c r="Z345" s="23"/>
      <c r="AA345" s="23"/>
      <c r="AB345" s="23"/>
    </row>
    <row r="346" spans="2:28">
      <c r="B346" s="82"/>
      <c r="C346" s="5" t="s">
        <v>55</v>
      </c>
      <c r="D346" s="30">
        <v>0</v>
      </c>
      <c r="E346" s="7">
        <f t="shared" si="142"/>
        <v>0</v>
      </c>
      <c r="F346" s="8">
        <f t="shared" si="143"/>
        <v>0</v>
      </c>
      <c r="G346" s="9">
        <v>0</v>
      </c>
      <c r="H346" s="9">
        <f t="shared" si="144"/>
        <v>0</v>
      </c>
      <c r="I346" s="10">
        <v>0</v>
      </c>
      <c r="J346" s="10">
        <f t="shared" si="145"/>
        <v>0</v>
      </c>
      <c r="K346" s="9">
        <v>0</v>
      </c>
      <c r="L346" s="9">
        <f t="shared" si="146"/>
        <v>0</v>
      </c>
      <c r="M346" s="10">
        <v>0</v>
      </c>
      <c r="N346" s="10">
        <f t="shared" si="147"/>
        <v>0</v>
      </c>
      <c r="O346" s="9">
        <v>0</v>
      </c>
      <c r="P346" s="9">
        <f t="shared" si="148"/>
        <v>0</v>
      </c>
      <c r="Q346" s="10">
        <v>0</v>
      </c>
      <c r="R346" s="11">
        <f t="shared" si="149"/>
        <v>0</v>
      </c>
      <c r="S346" s="9">
        <v>0</v>
      </c>
      <c r="T346" s="9">
        <f t="shared" si="150"/>
        <v>0</v>
      </c>
      <c r="U346" s="10">
        <v>0</v>
      </c>
      <c r="V346" s="12">
        <f t="shared" si="151"/>
        <v>0</v>
      </c>
      <c r="W346" s="40"/>
      <c r="Y346" s="22"/>
      <c r="Z346" s="23"/>
      <c r="AA346" s="23"/>
      <c r="AB346" s="23"/>
    </row>
    <row r="347" spans="2:28">
      <c r="G347" s="14"/>
      <c r="H347" s="15">
        <f>SUM(H334:H346)</f>
        <v>0</v>
      </c>
      <c r="I347" s="15"/>
      <c r="J347" s="15">
        <f>SUM(J334:J346)</f>
        <v>0</v>
      </c>
      <c r="K347" s="15"/>
      <c r="L347" s="15">
        <f>SUM(L334:L346)</f>
        <v>0</v>
      </c>
      <c r="M347" s="15"/>
      <c r="N347" s="15">
        <f>SUM(N334:N346)</f>
        <v>0</v>
      </c>
      <c r="O347" s="15"/>
      <c r="P347" s="15">
        <f>SUM(P334:P346)</f>
        <v>0</v>
      </c>
      <c r="Q347" s="15"/>
      <c r="R347" s="15">
        <f>SUM(R334:R346)</f>
        <v>0</v>
      </c>
      <c r="S347" s="15"/>
      <c r="T347" s="15">
        <f>SUM(T334:T346)</f>
        <v>0</v>
      </c>
      <c r="U347" s="15"/>
      <c r="V347" s="15">
        <f>SUM(V334:V346)</f>
        <v>0</v>
      </c>
      <c r="W347" s="15"/>
      <c r="Y347" s="13"/>
    </row>
    <row r="348" spans="2:28">
      <c r="B348" s="78" t="s">
        <v>214</v>
      </c>
      <c r="C348" s="78"/>
      <c r="D348" s="78"/>
      <c r="E348" s="83"/>
      <c r="F348" s="83"/>
      <c r="G348" s="83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Y348" s="13"/>
    </row>
    <row r="349" spans="2:28">
      <c r="B349" s="16"/>
      <c r="C349" s="16"/>
      <c r="D349" s="16"/>
      <c r="G349" s="14"/>
      <c r="H349" s="14"/>
      <c r="I349" s="14"/>
      <c r="J349" s="14"/>
      <c r="K349" s="84" t="s">
        <v>57</v>
      </c>
      <c r="L349" s="84"/>
      <c r="M349" s="84"/>
      <c r="N349" s="17">
        <v>1480</v>
      </c>
      <c r="O349" s="85" t="s">
        <v>215</v>
      </c>
      <c r="P349" s="85"/>
      <c r="Q349" s="14"/>
      <c r="R349" s="14"/>
      <c r="S349" s="14"/>
      <c r="T349" s="14"/>
      <c r="U349" s="14"/>
      <c r="V349" s="14"/>
      <c r="W349" s="14"/>
      <c r="Y349" s="18"/>
    </row>
    <row r="350" spans="2:28">
      <c r="B350" s="19" t="s">
        <v>58</v>
      </c>
      <c r="C350" s="19"/>
      <c r="F350" s="67">
        <f>SUM(E334:E346)/10</f>
        <v>0</v>
      </c>
      <c r="G350" s="67"/>
      <c r="H350" s="20"/>
      <c r="I350" s="20"/>
      <c r="Y350" s="21"/>
    </row>
    <row r="351" spans="2:28">
      <c r="B351" s="19" t="s">
        <v>59</v>
      </c>
      <c r="F351" s="67">
        <f>SUM(F334:F346)</f>
        <v>0</v>
      </c>
      <c r="G351" s="67"/>
      <c r="I351" s="68">
        <f>E348*F351</f>
        <v>0</v>
      </c>
      <c r="J351" s="68"/>
      <c r="K351" s="68"/>
      <c r="M351" s="69">
        <f>I351/N349</f>
        <v>0</v>
      </c>
      <c r="N351" s="69"/>
      <c r="O351" s="69"/>
    </row>
    <row r="352" spans="2:28" ht="14.45" customHeight="1"/>
    <row r="353" spans="2:20">
      <c r="B353" s="78" t="s">
        <v>60</v>
      </c>
      <c r="C353" s="78"/>
      <c r="D353" s="78"/>
      <c r="F353" s="79">
        <f>1-F350</f>
        <v>1</v>
      </c>
      <c r="G353" s="79"/>
    </row>
    <row r="354" spans="2:20">
      <c r="B354" s="78" t="s">
        <v>61</v>
      </c>
      <c r="C354" s="78"/>
      <c r="D354" s="78"/>
      <c r="F354" s="79">
        <f>1-F351</f>
        <v>1</v>
      </c>
      <c r="G354" s="79"/>
      <c r="I354" s="80">
        <f>E348*F354</f>
        <v>0</v>
      </c>
      <c r="J354" s="80"/>
      <c r="K354" s="80"/>
      <c r="M354" s="81">
        <f>I354/N349</f>
        <v>0</v>
      </c>
      <c r="N354" s="81"/>
      <c r="O354" s="81"/>
    </row>
    <row r="355" spans="2:20" ht="14.45" customHeight="1"/>
    <row r="356" spans="2:20" ht="15" customHeight="1">
      <c r="B356" s="16" t="s">
        <v>62</v>
      </c>
      <c r="C356" s="16"/>
      <c r="D356" s="16"/>
      <c r="F356" s="62">
        <f>1-(F336+F337+F339+F340+F341+F342+F343+F344+F345)</f>
        <v>1</v>
      </c>
      <c r="G356" s="62"/>
      <c r="I356" s="63">
        <f>I354*F356</f>
        <v>0</v>
      </c>
      <c r="J356" s="63"/>
      <c r="K356" s="63"/>
      <c r="M356" s="64">
        <f>M354*F356</f>
        <v>0</v>
      </c>
      <c r="N356" s="64"/>
      <c r="O356" s="64"/>
      <c r="P356" s="65" t="s">
        <v>63</v>
      </c>
      <c r="Q356" s="65"/>
      <c r="R356" s="65"/>
      <c r="S356" s="65"/>
      <c r="T356" s="65"/>
    </row>
    <row r="357" spans="2:20">
      <c r="B357" s="16" t="s">
        <v>64</v>
      </c>
      <c r="F357" s="66"/>
      <c r="G357" s="66"/>
      <c r="I357" s="63">
        <f>I354-I356</f>
        <v>0</v>
      </c>
      <c r="J357" s="63"/>
      <c r="K357" s="63"/>
      <c r="M357" s="64">
        <f>M354-M356</f>
        <v>0</v>
      </c>
      <c r="N357" s="64"/>
      <c r="O357" s="64"/>
      <c r="P357" s="65"/>
      <c r="Q357" s="65"/>
      <c r="R357" s="65"/>
      <c r="S357" s="65"/>
      <c r="T357" s="65"/>
    </row>
  </sheetData>
  <mergeCells count="690">
    <mergeCell ref="P92:T93"/>
    <mergeCell ref="F93:G93"/>
    <mergeCell ref="I93:K93"/>
    <mergeCell ref="M93:O93"/>
    <mergeCell ref="B89:D89"/>
    <mergeCell ref="F89:G89"/>
    <mergeCell ref="B90:D90"/>
    <mergeCell ref="F90:G90"/>
    <mergeCell ref="I90:K90"/>
    <mergeCell ref="M90:O90"/>
    <mergeCell ref="F92:G92"/>
    <mergeCell ref="I92:K92"/>
    <mergeCell ref="M92:O92"/>
    <mergeCell ref="B69:B82"/>
    <mergeCell ref="B84:D84"/>
    <mergeCell ref="E84:G84"/>
    <mergeCell ref="K85:M85"/>
    <mergeCell ref="O85:P85"/>
    <mergeCell ref="F86:G86"/>
    <mergeCell ref="F87:G87"/>
    <mergeCell ref="I87:K87"/>
    <mergeCell ref="M87:O87"/>
    <mergeCell ref="D66:D68"/>
    <mergeCell ref="E66:E68"/>
    <mergeCell ref="F66:F68"/>
    <mergeCell ref="G66:H66"/>
    <mergeCell ref="I66:J66"/>
    <mergeCell ref="K66:L66"/>
    <mergeCell ref="M66:N66"/>
    <mergeCell ref="O66:P66"/>
    <mergeCell ref="Q66:R66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P67:P68"/>
    <mergeCell ref="Q67:Q68"/>
    <mergeCell ref="R67:R68"/>
    <mergeCell ref="G65:H65"/>
    <mergeCell ref="I65:J65"/>
    <mergeCell ref="K65:L65"/>
    <mergeCell ref="M65:N65"/>
    <mergeCell ref="O65:P65"/>
    <mergeCell ref="Q65:R65"/>
    <mergeCell ref="S65:T65"/>
    <mergeCell ref="U65:V65"/>
    <mergeCell ref="S66:T66"/>
    <mergeCell ref="U66:V66"/>
    <mergeCell ref="S67:S68"/>
    <mergeCell ref="T67:T68"/>
    <mergeCell ref="U67:U68"/>
    <mergeCell ref="V67:V68"/>
    <mergeCell ref="H6:H7"/>
    <mergeCell ref="M27:O27"/>
    <mergeCell ref="C2:I2"/>
    <mergeCell ref="N2:O2"/>
    <mergeCell ref="Y3:AD6"/>
    <mergeCell ref="G4:H4"/>
    <mergeCell ref="I4:J4"/>
    <mergeCell ref="K4:L4"/>
    <mergeCell ref="M4:N4"/>
    <mergeCell ref="O4:P4"/>
    <mergeCell ref="Q4:R4"/>
    <mergeCell ref="S4:T4"/>
    <mergeCell ref="U4:V4"/>
    <mergeCell ref="D5:D7"/>
    <mergeCell ref="E5:E7"/>
    <mergeCell ref="F5:F7"/>
    <mergeCell ref="G5:H5"/>
    <mergeCell ref="I5:J5"/>
    <mergeCell ref="K5:L5"/>
    <mergeCell ref="M5:N5"/>
    <mergeCell ref="O5:P5"/>
    <mergeCell ref="Q5:R5"/>
    <mergeCell ref="S5:T5"/>
    <mergeCell ref="U5:V5"/>
    <mergeCell ref="G6:G7"/>
    <mergeCell ref="B29:D29"/>
    <mergeCell ref="F29:G29"/>
    <mergeCell ref="U6:U7"/>
    <mergeCell ref="V6:V7"/>
    <mergeCell ref="B8:B22"/>
    <mergeCell ref="B24:D24"/>
    <mergeCell ref="E24:G24"/>
    <mergeCell ref="K25:M25"/>
    <mergeCell ref="O25:P25"/>
    <mergeCell ref="O6:O7"/>
    <mergeCell ref="P6:P7"/>
    <mergeCell ref="Q6:Q7"/>
    <mergeCell ref="R6:R7"/>
    <mergeCell ref="S6:S7"/>
    <mergeCell ref="T6:T7"/>
    <mergeCell ref="I6:I7"/>
    <mergeCell ref="J6:J7"/>
    <mergeCell ref="K6:K7"/>
    <mergeCell ref="L6:L7"/>
    <mergeCell ref="M6:M7"/>
    <mergeCell ref="N6:N7"/>
    <mergeCell ref="F26:G26"/>
    <mergeCell ref="F27:G27"/>
    <mergeCell ref="I27:K27"/>
    <mergeCell ref="B30:D30"/>
    <mergeCell ref="F30:G30"/>
    <mergeCell ref="I30:K30"/>
    <mergeCell ref="M30:O30"/>
    <mergeCell ref="Y34:AD37"/>
    <mergeCell ref="G35:H35"/>
    <mergeCell ref="I35:J35"/>
    <mergeCell ref="K35:L35"/>
    <mergeCell ref="M35:N35"/>
    <mergeCell ref="O35:P35"/>
    <mergeCell ref="Q35:R35"/>
    <mergeCell ref="S35:T35"/>
    <mergeCell ref="U35:V35"/>
    <mergeCell ref="S36:T36"/>
    <mergeCell ref="U36:V36"/>
    <mergeCell ref="V37:V38"/>
    <mergeCell ref="S37:S38"/>
    <mergeCell ref="T37:T38"/>
    <mergeCell ref="U37:U38"/>
    <mergeCell ref="B39:B52"/>
    <mergeCell ref="B54:D54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D36:D38"/>
    <mergeCell ref="E36:E38"/>
    <mergeCell ref="F36:F38"/>
    <mergeCell ref="G36:H36"/>
    <mergeCell ref="I36:J36"/>
    <mergeCell ref="K36:L36"/>
    <mergeCell ref="M36:N36"/>
    <mergeCell ref="O36:P36"/>
    <mergeCell ref="Q36:R36"/>
    <mergeCell ref="B59:D59"/>
    <mergeCell ref="F59:G59"/>
    <mergeCell ref="B60:D60"/>
    <mergeCell ref="F60:G60"/>
    <mergeCell ref="I60:K60"/>
    <mergeCell ref="M60:O60"/>
    <mergeCell ref="K55:M55"/>
    <mergeCell ref="O55:P55"/>
    <mergeCell ref="F56:G56"/>
    <mergeCell ref="F57:G57"/>
    <mergeCell ref="I57:K57"/>
    <mergeCell ref="M57:O57"/>
    <mergeCell ref="F32:G32"/>
    <mergeCell ref="I32:K32"/>
    <mergeCell ref="M32:O32"/>
    <mergeCell ref="F33:G33"/>
    <mergeCell ref="I33:K33"/>
    <mergeCell ref="M33:O33"/>
    <mergeCell ref="P32:T33"/>
    <mergeCell ref="F62:G62"/>
    <mergeCell ref="I62:K62"/>
    <mergeCell ref="M62:O62"/>
    <mergeCell ref="P62:T63"/>
    <mergeCell ref="F63:G63"/>
    <mergeCell ref="I63:K63"/>
    <mergeCell ref="M63:O63"/>
    <mergeCell ref="E54:G54"/>
    <mergeCell ref="M123:O123"/>
    <mergeCell ref="I123:K123"/>
    <mergeCell ref="F123:G123"/>
    <mergeCell ref="P122:T123"/>
    <mergeCell ref="M122:O122"/>
    <mergeCell ref="I122:K122"/>
    <mergeCell ref="F122:G122"/>
    <mergeCell ref="M120:O120"/>
    <mergeCell ref="I120:K120"/>
    <mergeCell ref="F120:G120"/>
    <mergeCell ref="B120:D120"/>
    <mergeCell ref="F119:G119"/>
    <mergeCell ref="B119:D119"/>
    <mergeCell ref="M117:O117"/>
    <mergeCell ref="I117:K117"/>
    <mergeCell ref="F117:G117"/>
    <mergeCell ref="F116:G116"/>
    <mergeCell ref="O115:P115"/>
    <mergeCell ref="K115:M115"/>
    <mergeCell ref="F96:F98"/>
    <mergeCell ref="E114:G114"/>
    <mergeCell ref="B114:D114"/>
    <mergeCell ref="B99:B112"/>
    <mergeCell ref="V97:V98"/>
    <mergeCell ref="U97:U98"/>
    <mergeCell ref="T97:T98"/>
    <mergeCell ref="S97:S98"/>
    <mergeCell ref="R97:R98"/>
    <mergeCell ref="Q97:Q98"/>
    <mergeCell ref="P97:P98"/>
    <mergeCell ref="O97:O98"/>
    <mergeCell ref="N97:N98"/>
    <mergeCell ref="M97:M98"/>
    <mergeCell ref="L97:L98"/>
    <mergeCell ref="K97:K98"/>
    <mergeCell ref="J97:J98"/>
    <mergeCell ref="I97:I98"/>
    <mergeCell ref="H97:H98"/>
    <mergeCell ref="G97:G98"/>
    <mergeCell ref="E96:E98"/>
    <mergeCell ref="D96:D98"/>
    <mergeCell ref="U95:V95"/>
    <mergeCell ref="S95:T95"/>
    <mergeCell ref="Q95:R95"/>
    <mergeCell ref="O95:P95"/>
    <mergeCell ref="M95:N95"/>
    <mergeCell ref="K95:L95"/>
    <mergeCell ref="I95:J95"/>
    <mergeCell ref="G95:H9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U96:V96"/>
    <mergeCell ref="S96:T96"/>
    <mergeCell ref="Q96:R96"/>
    <mergeCell ref="O96:P96"/>
    <mergeCell ref="M96:N96"/>
    <mergeCell ref="K96:L96"/>
    <mergeCell ref="I96:J96"/>
    <mergeCell ref="G96:H96"/>
    <mergeCell ref="D126:D128"/>
    <mergeCell ref="E126:E128"/>
    <mergeCell ref="F126:F128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G127:G128"/>
    <mergeCell ref="H127:H128"/>
    <mergeCell ref="I127:I128"/>
    <mergeCell ref="J127:J128"/>
    <mergeCell ref="K127:K128"/>
    <mergeCell ref="L127:L128"/>
    <mergeCell ref="M127:M128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V127:V128"/>
    <mergeCell ref="B129:B142"/>
    <mergeCell ref="B144:D144"/>
    <mergeCell ref="E144:G144"/>
    <mergeCell ref="K145:M145"/>
    <mergeCell ref="O145:P145"/>
    <mergeCell ref="F146:G146"/>
    <mergeCell ref="F147:G147"/>
    <mergeCell ref="I147:K147"/>
    <mergeCell ref="M147:O147"/>
    <mergeCell ref="B149:D149"/>
    <mergeCell ref="F149:G149"/>
    <mergeCell ref="B150:D150"/>
    <mergeCell ref="F150:G150"/>
    <mergeCell ref="I150:K150"/>
    <mergeCell ref="M150:O150"/>
    <mergeCell ref="F152:G152"/>
    <mergeCell ref="I152:K152"/>
    <mergeCell ref="M152:O152"/>
    <mergeCell ref="P152:T153"/>
    <mergeCell ref="F153:G153"/>
    <mergeCell ref="I153:K153"/>
    <mergeCell ref="M153:O153"/>
    <mergeCell ref="G155:H155"/>
    <mergeCell ref="I155:J155"/>
    <mergeCell ref="K155:L155"/>
    <mergeCell ref="M155:N155"/>
    <mergeCell ref="O155:P155"/>
    <mergeCell ref="Q155:R155"/>
    <mergeCell ref="S155:T155"/>
    <mergeCell ref="V157:V158"/>
    <mergeCell ref="B159:B172"/>
    <mergeCell ref="B174:D174"/>
    <mergeCell ref="E174:G174"/>
    <mergeCell ref="K175:M175"/>
    <mergeCell ref="O175:P175"/>
    <mergeCell ref="U155:V155"/>
    <mergeCell ref="D156:D158"/>
    <mergeCell ref="E156:E158"/>
    <mergeCell ref="F156:F158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G157:G158"/>
    <mergeCell ref="H157:H158"/>
    <mergeCell ref="I157:I158"/>
    <mergeCell ref="J157:J158"/>
    <mergeCell ref="K157:K158"/>
    <mergeCell ref="L157:L158"/>
    <mergeCell ref="B179:D179"/>
    <mergeCell ref="F179:G179"/>
    <mergeCell ref="B180:D180"/>
    <mergeCell ref="F180:G180"/>
    <mergeCell ref="I180:K180"/>
    <mergeCell ref="M180:O180"/>
    <mergeCell ref="S157:S158"/>
    <mergeCell ref="T157:T158"/>
    <mergeCell ref="U157:U158"/>
    <mergeCell ref="M157:M158"/>
    <mergeCell ref="N157:N158"/>
    <mergeCell ref="O157:O158"/>
    <mergeCell ref="P157:P158"/>
    <mergeCell ref="Q157:Q158"/>
    <mergeCell ref="R157:R158"/>
    <mergeCell ref="F182:G182"/>
    <mergeCell ref="I182:K182"/>
    <mergeCell ref="M182:O182"/>
    <mergeCell ref="P182:T183"/>
    <mergeCell ref="I183:K183"/>
    <mergeCell ref="M183:O183"/>
    <mergeCell ref="F176:G176"/>
    <mergeCell ref="F177:G177"/>
    <mergeCell ref="I177:K177"/>
    <mergeCell ref="M177:O177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D186:D188"/>
    <mergeCell ref="E186:E188"/>
    <mergeCell ref="F186:F188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G187:G188"/>
    <mergeCell ref="H187:H188"/>
    <mergeCell ref="I187:I188"/>
    <mergeCell ref="J187:J188"/>
    <mergeCell ref="K187:K188"/>
    <mergeCell ref="U187:U188"/>
    <mergeCell ref="V187:V188"/>
    <mergeCell ref="B189:B201"/>
    <mergeCell ref="B203:D203"/>
    <mergeCell ref="E203:G203"/>
    <mergeCell ref="K204:M204"/>
    <mergeCell ref="O204:P204"/>
    <mergeCell ref="F205:G205"/>
    <mergeCell ref="F206:G206"/>
    <mergeCell ref="I206:K206"/>
    <mergeCell ref="M206:O206"/>
    <mergeCell ref="L187:L188"/>
    <mergeCell ref="M187:M188"/>
    <mergeCell ref="N187:N188"/>
    <mergeCell ref="O187:O188"/>
    <mergeCell ref="P187:P188"/>
    <mergeCell ref="Q187:Q188"/>
    <mergeCell ref="R187:R188"/>
    <mergeCell ref="S187:S188"/>
    <mergeCell ref="T187:T188"/>
    <mergeCell ref="B208:D208"/>
    <mergeCell ref="F208:G208"/>
    <mergeCell ref="B209:D209"/>
    <mergeCell ref="F209:G209"/>
    <mergeCell ref="I209:K209"/>
    <mergeCell ref="M209:O209"/>
    <mergeCell ref="F211:G211"/>
    <mergeCell ref="I211:K211"/>
    <mergeCell ref="M211:O211"/>
    <mergeCell ref="P211:T212"/>
    <mergeCell ref="F212:G212"/>
    <mergeCell ref="I212:K212"/>
    <mergeCell ref="M212:O212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D215:D217"/>
    <mergeCell ref="E215:E217"/>
    <mergeCell ref="F215:F217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V216:V217"/>
    <mergeCell ref="B218:B230"/>
    <mergeCell ref="B232:D232"/>
    <mergeCell ref="E232:G232"/>
    <mergeCell ref="K233:M233"/>
    <mergeCell ref="O233:P233"/>
    <mergeCell ref="F234:G234"/>
    <mergeCell ref="F235:G235"/>
    <mergeCell ref="I235:K235"/>
    <mergeCell ref="M235:O235"/>
    <mergeCell ref="B237:D237"/>
    <mergeCell ref="F237:G237"/>
    <mergeCell ref="B238:D238"/>
    <mergeCell ref="F238:G238"/>
    <mergeCell ref="I238:K238"/>
    <mergeCell ref="M238:O238"/>
    <mergeCell ref="F240:G240"/>
    <mergeCell ref="I240:K240"/>
    <mergeCell ref="M240:O240"/>
    <mergeCell ref="P240:T241"/>
    <mergeCell ref="F241:G241"/>
    <mergeCell ref="I241:K241"/>
    <mergeCell ref="M241:O241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D244:D246"/>
    <mergeCell ref="E244:E246"/>
    <mergeCell ref="F244:F246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P246"/>
    <mergeCell ref="Q245:Q246"/>
    <mergeCell ref="R245:R246"/>
    <mergeCell ref="S245:S246"/>
    <mergeCell ref="T245:T246"/>
    <mergeCell ref="U245:U246"/>
    <mergeCell ref="V245:V246"/>
    <mergeCell ref="B247:B259"/>
    <mergeCell ref="B261:D261"/>
    <mergeCell ref="E261:G261"/>
    <mergeCell ref="K262:M262"/>
    <mergeCell ref="O262:P262"/>
    <mergeCell ref="F263:G263"/>
    <mergeCell ref="F264:G264"/>
    <mergeCell ref="I264:K264"/>
    <mergeCell ref="M264:O264"/>
    <mergeCell ref="B266:D266"/>
    <mergeCell ref="F266:G266"/>
    <mergeCell ref="B267:D267"/>
    <mergeCell ref="F267:G267"/>
    <mergeCell ref="I267:K267"/>
    <mergeCell ref="M267:O267"/>
    <mergeCell ref="F269:G269"/>
    <mergeCell ref="I269:K269"/>
    <mergeCell ref="M269:O269"/>
    <mergeCell ref="P269:T270"/>
    <mergeCell ref="F270:G270"/>
    <mergeCell ref="I270:K270"/>
    <mergeCell ref="M270:O270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D273:D275"/>
    <mergeCell ref="E273:E275"/>
    <mergeCell ref="F273:F275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B276:B288"/>
    <mergeCell ref="B290:D290"/>
    <mergeCell ref="E290:G290"/>
    <mergeCell ref="K291:M291"/>
    <mergeCell ref="O291:P291"/>
    <mergeCell ref="F292:G292"/>
    <mergeCell ref="F293:G293"/>
    <mergeCell ref="I293:K293"/>
    <mergeCell ref="M293:O293"/>
    <mergeCell ref="B295:D295"/>
    <mergeCell ref="F295:G295"/>
    <mergeCell ref="B296:D296"/>
    <mergeCell ref="F296:G296"/>
    <mergeCell ref="I296:K296"/>
    <mergeCell ref="M296:O296"/>
    <mergeCell ref="F298:G298"/>
    <mergeCell ref="I298:K298"/>
    <mergeCell ref="M298:O298"/>
    <mergeCell ref="P298:T299"/>
    <mergeCell ref="F299:G299"/>
    <mergeCell ref="I299:K299"/>
    <mergeCell ref="M299:O299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D302:D304"/>
    <mergeCell ref="E302:E304"/>
    <mergeCell ref="F302:F304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G303:G304"/>
    <mergeCell ref="H303:H304"/>
    <mergeCell ref="I303:I304"/>
    <mergeCell ref="J303:J304"/>
    <mergeCell ref="K303:K304"/>
    <mergeCell ref="L303:L304"/>
    <mergeCell ref="M303:M304"/>
    <mergeCell ref="N303:N304"/>
    <mergeCell ref="O303:O304"/>
    <mergeCell ref="P303:P304"/>
    <mergeCell ref="Q303:Q304"/>
    <mergeCell ref="R303:R304"/>
    <mergeCell ref="S303:S304"/>
    <mergeCell ref="T303:T304"/>
    <mergeCell ref="U303:U304"/>
    <mergeCell ref="V303:V304"/>
    <mergeCell ref="B305:B317"/>
    <mergeCell ref="B319:D319"/>
    <mergeCell ref="E319:G319"/>
    <mergeCell ref="K320:M320"/>
    <mergeCell ref="O320:P320"/>
    <mergeCell ref="F321:G321"/>
    <mergeCell ref="F322:G322"/>
    <mergeCell ref="I322:K322"/>
    <mergeCell ref="M322:O322"/>
    <mergeCell ref="B324:D324"/>
    <mergeCell ref="F324:G324"/>
    <mergeCell ref="B325:D325"/>
    <mergeCell ref="F325:G325"/>
    <mergeCell ref="I325:K325"/>
    <mergeCell ref="M325:O325"/>
    <mergeCell ref="F327:G327"/>
    <mergeCell ref="I327:K327"/>
    <mergeCell ref="M327:O327"/>
    <mergeCell ref="P327:T328"/>
    <mergeCell ref="F328:G328"/>
    <mergeCell ref="I328:K328"/>
    <mergeCell ref="M328:O328"/>
    <mergeCell ref="G330:H330"/>
    <mergeCell ref="I330:J330"/>
    <mergeCell ref="K330:L330"/>
    <mergeCell ref="M330:N330"/>
    <mergeCell ref="O330:P330"/>
    <mergeCell ref="Q330:R330"/>
    <mergeCell ref="S330:T330"/>
    <mergeCell ref="T332:T333"/>
    <mergeCell ref="U332:U333"/>
    <mergeCell ref="M332:M333"/>
    <mergeCell ref="N332:N333"/>
    <mergeCell ref="O332:O333"/>
    <mergeCell ref="P332:P333"/>
    <mergeCell ref="Q332:Q333"/>
    <mergeCell ref="R332:R333"/>
    <mergeCell ref="B334:B346"/>
    <mergeCell ref="D331:D333"/>
    <mergeCell ref="E331:E333"/>
    <mergeCell ref="F331:F333"/>
    <mergeCell ref="G331:H331"/>
    <mergeCell ref="J332:J333"/>
    <mergeCell ref="K332:K333"/>
    <mergeCell ref="L332:L333"/>
    <mergeCell ref="H332:H333"/>
    <mergeCell ref="I332:I333"/>
    <mergeCell ref="B353:D353"/>
    <mergeCell ref="F353:G353"/>
    <mergeCell ref="B354:D354"/>
    <mergeCell ref="F354:G354"/>
    <mergeCell ref="I354:K354"/>
    <mergeCell ref="M354:O354"/>
    <mergeCell ref="S332:S333"/>
    <mergeCell ref="B348:D348"/>
    <mergeCell ref="E348:G348"/>
    <mergeCell ref="K349:M349"/>
    <mergeCell ref="O349:P349"/>
    <mergeCell ref="W157:W158"/>
    <mergeCell ref="D183:E183"/>
    <mergeCell ref="X113:Y113"/>
    <mergeCell ref="F356:G356"/>
    <mergeCell ref="I356:K356"/>
    <mergeCell ref="M356:O356"/>
    <mergeCell ref="P356:T357"/>
    <mergeCell ref="F357:G357"/>
    <mergeCell ref="I357:K357"/>
    <mergeCell ref="M357:O357"/>
    <mergeCell ref="F350:G350"/>
    <mergeCell ref="F351:G351"/>
    <mergeCell ref="I351:K351"/>
    <mergeCell ref="M351:O351"/>
    <mergeCell ref="V332:V333"/>
    <mergeCell ref="U330:V330"/>
    <mergeCell ref="I331:J331"/>
    <mergeCell ref="K331:L331"/>
    <mergeCell ref="M331:N331"/>
    <mergeCell ref="O331:P331"/>
    <mergeCell ref="Q331:R331"/>
    <mergeCell ref="S331:T331"/>
    <mergeCell ref="U331:V331"/>
    <mergeCell ref="G332:G33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7F2E-E5AA-4CDA-BB1A-C0E56B5466B4}">
  <dimension ref="A2:B46"/>
  <sheetViews>
    <sheetView topLeftCell="A20" workbookViewId="0">
      <selection activeCell="B50" sqref="B50"/>
    </sheetView>
  </sheetViews>
  <sheetFormatPr defaultColWidth="11.42578125" defaultRowHeight="14.45"/>
  <cols>
    <col min="1" max="1" width="29.42578125" bestFit="1" customWidth="1"/>
    <col min="2" max="2" width="13.85546875" style="51" bestFit="1" customWidth="1"/>
  </cols>
  <sheetData>
    <row r="2" spans="1:2">
      <c r="A2" s="50">
        <v>46023</v>
      </c>
    </row>
    <row r="3" spans="1:2">
      <c r="A3" t="s">
        <v>216</v>
      </c>
      <c r="B3" s="51">
        <f>+Asignacion!I32</f>
        <v>10742481.955643421</v>
      </c>
    </row>
    <row r="4" spans="1:2">
      <c r="A4" t="s">
        <v>217</v>
      </c>
      <c r="B4" s="51">
        <f>+Asignacion!I4</f>
        <v>2205742.2966720001</v>
      </c>
    </row>
    <row r="5" spans="1:2">
      <c r="A5" t="s">
        <v>218</v>
      </c>
      <c r="B5" s="51">
        <f>+Asignacion!K4</f>
        <v>2932054.4302405003</v>
      </c>
    </row>
    <row r="6" spans="1:2">
      <c r="A6" t="s">
        <v>219</v>
      </c>
      <c r="B6" s="51">
        <f>+Asignacion!M4</f>
        <v>1203584.72889585</v>
      </c>
    </row>
    <row r="7" spans="1:2">
      <c r="A7" t="s">
        <v>220</v>
      </c>
      <c r="B7" s="51">
        <f>+Asignacion!O4</f>
        <v>165813.61362135</v>
      </c>
    </row>
    <row r="8" spans="1:2">
      <c r="A8" t="s">
        <v>221</v>
      </c>
      <c r="B8" s="51">
        <f>+Asignacion!G4</f>
        <v>3779248.3899055501</v>
      </c>
    </row>
    <row r="9" spans="1:2">
      <c r="A9" t="s">
        <v>222</v>
      </c>
      <c r="B9" s="51">
        <f>+Asignacion!U4</f>
        <v>165813.61362135</v>
      </c>
    </row>
    <row r="11" spans="1:2">
      <c r="A11" s="50">
        <v>46054</v>
      </c>
    </row>
    <row r="12" spans="1:2">
      <c r="A12" t="s">
        <v>216</v>
      </c>
      <c r="B12" s="51">
        <f>+Asignacion!I62</f>
        <v>13954536.8491544</v>
      </c>
    </row>
    <row r="13" spans="1:2">
      <c r="A13" t="s">
        <v>217</v>
      </c>
      <c r="B13" s="51">
        <f>+Asignacion!I35</f>
        <v>2390239.1577680004</v>
      </c>
    </row>
    <row r="14" spans="1:2">
      <c r="A14" t="s">
        <v>218</v>
      </c>
      <c r="B14" s="51">
        <f>+Asignacion!K35</f>
        <v>850018.3047004001</v>
      </c>
    </row>
    <row r="15" spans="1:2">
      <c r="A15" t="s">
        <v>219</v>
      </c>
      <c r="B15" s="51">
        <f>+Asignacion!M35</f>
        <v>2438939.5808887999</v>
      </c>
    </row>
    <row r="16" spans="1:2">
      <c r="A16" t="s">
        <v>220</v>
      </c>
      <c r="B16" s="51">
        <f>+Asignacion!O13</f>
        <v>0</v>
      </c>
    </row>
    <row r="17" spans="1:2">
      <c r="A17" t="s">
        <v>221</v>
      </c>
      <c r="B17" s="51">
        <f>+Asignacion!G35+Asignacion!S35</f>
        <v>4157308.8208321999</v>
      </c>
    </row>
    <row r="18" spans="1:2">
      <c r="A18" t="s">
        <v>222</v>
      </c>
      <c r="B18" s="51">
        <f>+Asignacion!U13</f>
        <v>0</v>
      </c>
    </row>
    <row r="20" spans="1:2">
      <c r="A20" s="50">
        <v>46082</v>
      </c>
    </row>
    <row r="21" spans="1:2">
      <c r="A21" t="s">
        <v>216</v>
      </c>
      <c r="B21" s="51">
        <f>+Asignacion!I92</f>
        <v>10632782.099758433</v>
      </c>
    </row>
    <row r="22" spans="1:2">
      <c r="A22" t="s">
        <v>217</v>
      </c>
      <c r="B22" s="51">
        <f>+Asignacion!I65</f>
        <v>342945.52659600001</v>
      </c>
    </row>
    <row r="23" spans="1:2">
      <c r="A23" t="s">
        <v>218</v>
      </c>
      <c r="B23" s="51">
        <f>+Asignacion!K65</f>
        <v>1235205.2348730001</v>
      </c>
    </row>
    <row r="24" spans="1:2">
      <c r="A24" t="s">
        <v>219</v>
      </c>
      <c r="B24" s="51">
        <f>+Asignacion!M65</f>
        <v>4894536.0490800003</v>
      </c>
    </row>
    <row r="25" spans="1:2">
      <c r="A25" t="s">
        <v>220</v>
      </c>
      <c r="B25" s="51">
        <f>+Asignacion!O22</f>
        <v>0</v>
      </c>
    </row>
    <row r="26" spans="1:2">
      <c r="A26" t="s">
        <v>221</v>
      </c>
      <c r="B26" s="51">
        <f>+Asignacion!G65+Asignacion!S65</f>
        <v>6395454.2145400001</v>
      </c>
    </row>
    <row r="27" spans="1:2">
      <c r="A27" t="s">
        <v>222</v>
      </c>
      <c r="B27" s="51">
        <f>+Asignacion!U22</f>
        <v>0</v>
      </c>
    </row>
    <row r="29" spans="1:2">
      <c r="A29" s="50">
        <v>46113</v>
      </c>
    </row>
    <row r="30" spans="1:2">
      <c r="A30" t="s">
        <v>216</v>
      </c>
      <c r="B30" s="51">
        <f>+Asignacion!I122</f>
        <v>6522888.5588275362</v>
      </c>
    </row>
    <row r="31" spans="1:2">
      <c r="A31" t="s">
        <v>217</v>
      </c>
      <c r="B31" s="51">
        <f>+Asignacion!I95</f>
        <v>993605.65257600008</v>
      </c>
    </row>
    <row r="32" spans="1:2">
      <c r="A32" t="s">
        <v>218</v>
      </c>
      <c r="B32" s="51">
        <f>+Asignacion!K95</f>
        <v>2162553.4791359999</v>
      </c>
    </row>
    <row r="33" spans="1:2">
      <c r="A33" t="s">
        <v>219</v>
      </c>
      <c r="B33" s="51">
        <f>+Asignacion!M95</f>
        <v>3109888.2802440003</v>
      </c>
    </row>
    <row r="34" spans="1:2">
      <c r="A34" t="s">
        <v>220</v>
      </c>
      <c r="B34" s="51">
        <f>+Asignacion!O95</f>
        <v>297107.57258400001</v>
      </c>
    </row>
    <row r="35" spans="1:2">
      <c r="A35" t="s">
        <v>221</v>
      </c>
      <c r="B35" s="51">
        <f>+Asignacion!G95+Asignacion!Q95</f>
        <v>5418560.2376999995</v>
      </c>
    </row>
    <row r="36" spans="1:2">
      <c r="A36" t="s">
        <v>222</v>
      </c>
      <c r="B36" s="51">
        <f>+Asignacion!U31</f>
        <v>0</v>
      </c>
    </row>
    <row r="39" spans="1:2">
      <c r="A39" s="50">
        <v>46143</v>
      </c>
    </row>
    <row r="40" spans="1:2">
      <c r="A40" t="s">
        <v>216</v>
      </c>
      <c r="B40" s="51">
        <f>+Asignacion!I152</f>
        <v>7629316.4894148149</v>
      </c>
    </row>
    <row r="41" spans="1:2">
      <c r="A41" t="s">
        <v>217</v>
      </c>
      <c r="B41" s="51">
        <f>+Asignacion!I125</f>
        <v>4109248.3291847995</v>
      </c>
    </row>
    <row r="42" spans="1:2">
      <c r="A42" t="s">
        <v>218</v>
      </c>
      <c r="B42" s="51">
        <f>+Asignacion!K125</f>
        <v>1446894.9749034001</v>
      </c>
    </row>
    <row r="43" spans="1:2">
      <c r="A43" t="s">
        <v>219</v>
      </c>
      <c r="B43" s="51">
        <f>+Asignacion!M125</f>
        <v>646856.95943609998</v>
      </c>
    </row>
    <row r="44" spans="1:2">
      <c r="A44" t="s">
        <v>220</v>
      </c>
      <c r="B44" s="51">
        <f>+Asignacion!O125</f>
        <v>384062.64773039997</v>
      </c>
    </row>
    <row r="45" spans="1:2">
      <c r="A45" t="s">
        <v>221</v>
      </c>
      <c r="B45" s="51">
        <f>+Asignacion!G125</f>
        <v>8137466.0997443981</v>
      </c>
    </row>
    <row r="46" spans="1:2">
      <c r="A46" t="s">
        <v>222</v>
      </c>
      <c r="B46" s="51">
        <f>+Asignacion!U41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Racca</dc:creator>
  <cp:keywords/>
  <dc:description/>
  <cp:lastModifiedBy/>
  <cp:revision/>
  <dcterms:created xsi:type="dcterms:W3CDTF">2025-01-03T12:46:31Z</dcterms:created>
  <dcterms:modified xsi:type="dcterms:W3CDTF">2026-07-16T17:19:47Z</dcterms:modified>
  <cp:category/>
  <cp:contentStatus/>
</cp:coreProperties>
</file>